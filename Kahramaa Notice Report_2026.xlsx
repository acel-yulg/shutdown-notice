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  <sheet state="visible" name="Sheet2" sheetId="2" r:id="rId5"/>
  </sheets>
  <definedNames/>
  <calcPr/>
  <extLst>
    <ext uri="GoogleSheetsCustomDataVersion2">
      <go:sheetsCustomData xmlns:go="http://customooxmlschemas.google.com/" r:id="rId6" roundtripDataChecksum="8qmZDoNKZebYUqNuDgegupoSUStvPtAZLjGzfsL7dUM="/>
    </ext>
  </extLst>
</workbook>
</file>

<file path=xl/sharedStrings.xml><?xml version="1.0" encoding="utf-8"?>
<sst xmlns="http://schemas.openxmlformats.org/spreadsheetml/2006/main" count="8363" uniqueCount="2046">
  <si>
    <t>SN</t>
  </si>
  <si>
    <t>Electricity Number</t>
  </si>
  <si>
    <t>From</t>
  </si>
  <si>
    <t>To</t>
  </si>
  <si>
    <t>Asset Tag</t>
  </si>
  <si>
    <t>Field Tag</t>
  </si>
  <si>
    <t>GPS</t>
  </si>
  <si>
    <t>Area</t>
  </si>
  <si>
    <t>Zone</t>
  </si>
  <si>
    <t>Street</t>
  </si>
  <si>
    <t>Coordinates</t>
  </si>
  <si>
    <t>West Bay (Al Doha Al Hadetha)</t>
  </si>
  <si>
    <t>25.390900, 51.518883</t>
  </si>
  <si>
    <t>Al Gharrafa / Bani Hajer</t>
  </si>
  <si>
    <t>25.330952, 51.463870</t>
  </si>
  <si>
    <t>25.331254, 51.463825</t>
  </si>
  <si>
    <t>Industrial Area</t>
  </si>
  <si>
    <t>25.182765, 51.449207</t>
  </si>
  <si>
    <t>Al-Kheesa</t>
  </si>
  <si>
    <t>25.382497, 51.477593</t>
  </si>
  <si>
    <t>25.643664, 51.484475,25.645532, 51.478757,25.643653, 51.487906,25.646349, 51.479198,25.645017, 51.481277,25.645489, 51.481880,25.640784, 51.486730,25.637950, 51.488171,25.647570, 51.476258</t>
  </si>
  <si>
    <t>,</t>
  </si>
  <si>
    <t>25.351703, 51.395831</t>
  </si>
  <si>
    <t>Madinat Khalifa (south)</t>
  </si>
  <si>
    <t>25.322016, 51.474363</t>
  </si>
  <si>
    <t>West Bay (Al-Doha Al-Hadetha)</t>
  </si>
  <si>
    <t>25.361743, 51.509908</t>
  </si>
  <si>
    <t>Umm slal / Khreteat</t>
  </si>
  <si>
    <t>25.366980, 51.430446</t>
  </si>
  <si>
    <t>Al Soudan-S/Al Aziziya/Al Ghan</t>
  </si>
  <si>
    <t>25.249431, 51.447574</t>
  </si>
  <si>
    <t>25.211705, 51.419186</t>
  </si>
  <si>
    <t>Al-Wkeer</t>
  </si>
  <si>
    <t>25.184965, 51.568818</t>
  </si>
  <si>
    <t>25.185044, 51.568823</t>
  </si>
  <si>
    <t>25.414359, 51.440747</t>
  </si>
  <si>
    <t>Al-Mergab - Al-Naser</t>
  </si>
  <si>
    <t>25.275834, 51.508278</t>
  </si>
  <si>
    <t>25.180244, 51.581228</t>
  </si>
  <si>
    <t>Al Roodah</t>
  </si>
  <si>
    <t>25.236635, 51.548794</t>
  </si>
  <si>
    <t>25.364557, 51.426855</t>
  </si>
  <si>
    <t>Al-Gwerea</t>
  </si>
  <si>
    <t>25.827171, 51.246183</t>
  </si>
  <si>
    <t>25.176247, 51.568940</t>
  </si>
  <si>
    <t>25.171078, 51.569446</t>
  </si>
  <si>
    <t>25.174059, 51.569044</t>
  </si>
  <si>
    <t>25.173571, 51.568709</t>
  </si>
  <si>
    <t>25.263084, 51.409587</t>
  </si>
  <si>
    <t>25.179022, 51.451877</t>
  </si>
  <si>
    <t>25.210534, 51.434587</t>
  </si>
  <si>
    <t>Al-Thekhera</t>
  </si>
  <si>
    <t>25.784933, 51.566897</t>
  </si>
  <si>
    <t>Al-Mamoura - Ain Khaled - Al-K</t>
  </si>
  <si>
    <t>25.229228, 51.481781</t>
  </si>
  <si>
    <t>Fwert - Al-jasasea</t>
  </si>
  <si>
    <t>25.992448, 51.396887</t>
  </si>
  <si>
    <t>Abu -Nakla/ Mkeens</t>
  </si>
  <si>
    <t>Cancelled</t>
  </si>
  <si>
    <t>cancelled</t>
  </si>
  <si>
    <t>Al-Krara</t>
  </si>
  <si>
    <t>24.901916, 51.176422</t>
  </si>
  <si>
    <t>25.183665, 51.376020</t>
  </si>
  <si>
    <t>Al-Khoor</t>
  </si>
  <si>
    <t>25.664927, 51.497221</t>
  </si>
  <si>
    <t>25.542574, 51.408294</t>
  </si>
  <si>
    <t>25.340824, 51.364530</t>
  </si>
  <si>
    <t>25.353766, 51.439875</t>
  </si>
  <si>
    <t>25.748008, 51.404852,25.748930, 51.442863,25.740681, 51.445363,25.744398, 51.431644,25.736578, 51.438821,25.738369, 51.429412,25.742267, 51.408970,25.738382, 51.417547</t>
  </si>
  <si>
    <t>-</t>
  </si>
  <si>
    <t>Al-Wakra</t>
  </si>
  <si>
    <t>25.147266, 51.586508</t>
  </si>
  <si>
    <t>25.147290, 51.586482</t>
  </si>
  <si>
    <t>1704/Bui-67</t>
  </si>
  <si>
    <t>25.484792, 51.463862</t>
  </si>
  <si>
    <t>25.485072, 51.464747</t>
  </si>
  <si>
    <t>Al Mamoura Ain khalid</t>
  </si>
  <si>
    <t>25.246432, 51.483035</t>
  </si>
  <si>
    <t>25.363435, 51.426239</t>
  </si>
  <si>
    <t>Al-wakeer</t>
  </si>
  <si>
    <t>25.179944, 51.568413</t>
  </si>
  <si>
    <t>25.177796, 51.568866</t>
  </si>
  <si>
    <t>25.362609, 51.438724</t>
  </si>
  <si>
    <t>25.674049, 51.506861</t>
  </si>
  <si>
    <t>25.208042, 51.471174</t>
  </si>
  <si>
    <t>25.187499, 51.422135</t>
  </si>
  <si>
    <t>25.174587, 51.459798</t>
  </si>
  <si>
    <t>25.173701, 51.575650</t>
  </si>
  <si>
    <t>25.176149, 51.575787</t>
  </si>
  <si>
    <t>25.206816, 51.450769</t>
  </si>
  <si>
    <t>Al soudan-S/Al Aziziya/Al Ghan</t>
  </si>
  <si>
    <t>25.246034, 51.419635</t>
  </si>
  <si>
    <t>25.411933, 51.436157</t>
  </si>
  <si>
    <t>The Amire Area Murakh Nort</t>
  </si>
  <si>
    <t>25.253558, 51.469956</t>
  </si>
  <si>
    <t>25.226130, 51.412421</t>
  </si>
  <si>
    <t>Al Rayan Al Jadeed North Moait</t>
  </si>
  <si>
    <t>25.289614, 51.424029</t>
  </si>
  <si>
    <t>25.558135, 51.454165, 25.558302, 51.452178, 25.568316, 51.454808, 25.568130, 51.458017, 25.564260, 51.457492, 25.563476, 51.455354, 25.564943, 51.456620, 25.568600, 51.452035, 25.561626, 51.454730, 25.556123, 51.452692, 25.564542, 51.455633, 25.567953, 51.454716,  25.565475, 51.459026, 25.556394, 51.451014, 25.566456, 51.459834, 25.568259, 51.454861, 25.566825, 51.457216, 25.558197, 51.454345, 25.556003, 51.452617, 25.568604, 51.451981</t>
  </si>
  <si>
    <t>25.183930, 51.453169</t>
  </si>
  <si>
    <t>25.208316, 51.357247</t>
  </si>
  <si>
    <t>Al-Muntazha</t>
  </si>
  <si>
    <t>25.269273, 51.516420</t>
  </si>
  <si>
    <t>25.205725, 51.464077</t>
  </si>
  <si>
    <t>25.159417, 51.558249</t>
  </si>
  <si>
    <t>Al-gharrafa/Bani Hajer</t>
  </si>
  <si>
    <t>25.353308, 51.403374</t>
  </si>
  <si>
    <t>25.249220, 51.489672</t>
  </si>
  <si>
    <t>25.624595, 51.485358</t>
  </si>
  <si>
    <t>25.630185, 51.489041</t>
  </si>
  <si>
    <t>25.637457, 51.490405</t>
  </si>
  <si>
    <t>25.634112, 51.490702</t>
  </si>
  <si>
    <t xml:space="preserve">25.625396, 51.486813 </t>
  </si>
  <si>
    <t xml:space="preserve">25.630029, 51.488779 </t>
  </si>
  <si>
    <t>25.634486, 51.489622</t>
  </si>
  <si>
    <t xml:space="preserve">25.631625, 51.488096 </t>
  </si>
  <si>
    <t xml:space="preserve">25.635250, 51.491332 </t>
  </si>
  <si>
    <t>25.637661, 51.490308</t>
  </si>
  <si>
    <t>Al-mamoura - Ain Khaled - Al-K</t>
  </si>
  <si>
    <t>25.220773, 51.516717</t>
  </si>
  <si>
    <t>25.221676, 51.516195</t>
  </si>
  <si>
    <t>Al-Jemelea</t>
  </si>
  <si>
    <t>25.725725, 51.001881</t>
  </si>
  <si>
    <t>25.581423, 51.478143</t>
  </si>
  <si>
    <t>25.584673, 51.478248</t>
  </si>
  <si>
    <t>Al-kheesa</t>
  </si>
  <si>
    <t xml:space="preserve">25.488715, 51.463983  </t>
  </si>
  <si>
    <t>25.489508, 51.465720</t>
  </si>
  <si>
    <t xml:space="preserve">25.484792, 51.463862 </t>
  </si>
  <si>
    <t xml:space="preserve">25.484799, 51.468505 </t>
  </si>
  <si>
    <t>25.493949, 51.461341</t>
  </si>
  <si>
    <t xml:space="preserve">25.493675, 51.462918 </t>
  </si>
  <si>
    <t xml:space="preserve">25.491941, 51.462716 </t>
  </si>
  <si>
    <t>25.492019, 51.462716</t>
  </si>
  <si>
    <t xml:space="preserve">25.484459, 51.468955 </t>
  </si>
  <si>
    <t xml:space="preserve">25.486599, 51.467441 </t>
  </si>
  <si>
    <t xml:space="preserve">25.494608, 51.460407 </t>
  </si>
  <si>
    <t>25.486425, 51.464449</t>
  </si>
  <si>
    <t>25.235973, 51.469559</t>
  </si>
  <si>
    <t>Al-wkeer</t>
  </si>
  <si>
    <t>25.211922, 51.562557</t>
  </si>
  <si>
    <t>25.212963, 51.562081</t>
  </si>
  <si>
    <t>25.217473, 51.564006</t>
  </si>
  <si>
    <t>25.215943, 51.565834</t>
  </si>
  <si>
    <t>25.213493, 51.563648</t>
  </si>
  <si>
    <t>25.212077, 51.562958</t>
  </si>
  <si>
    <t>25.215559, 51.566289</t>
  </si>
  <si>
    <t>Old Airport</t>
  </si>
  <si>
    <t>25.251988, 51.543551</t>
  </si>
  <si>
    <t>25.402307, 51.431561</t>
  </si>
  <si>
    <t>25.402346, 51.431796</t>
  </si>
  <si>
    <t>Al-Rayan Al-Jadeed-North Moait</t>
  </si>
  <si>
    <t>25.294035, 51.426238</t>
  </si>
  <si>
    <t>25.294027, 51.426246</t>
  </si>
  <si>
    <t>25.396355, 51.417233</t>
  </si>
  <si>
    <t>Al-Shahanea</t>
  </si>
  <si>
    <t>25.418071, 51.167967</t>
  </si>
  <si>
    <t>25.195933, 51.464588</t>
  </si>
  <si>
    <t>25.210505, 51.434554</t>
  </si>
  <si>
    <t>25.192718, 51.454318</t>
  </si>
  <si>
    <t>25.193899, 51.450406</t>
  </si>
  <si>
    <t>Al-Mansoura - Ben Derhum</t>
  </si>
  <si>
    <t>25.274496, 51.530811</t>
  </si>
  <si>
    <t>25.174278, 51.525925</t>
  </si>
  <si>
    <t>25.176117, 51.530647</t>
  </si>
  <si>
    <t>25.161867, 51.606984</t>
  </si>
  <si>
    <t>25.162114, 51.607831</t>
  </si>
  <si>
    <t>POINT_X</t>
  </si>
  <si>
    <t>POINT_Y</t>
  </si>
  <si>
    <t>GPs</t>
  </si>
  <si>
    <t>Zone Number</t>
  </si>
  <si>
    <t>Panel Tag at the field</t>
  </si>
  <si>
    <t>Relevant ITS</t>
  </si>
  <si>
    <t>SIRTI MENA SCOPE</t>
  </si>
  <si>
    <t>Survey Date</t>
  </si>
  <si>
    <t>KM meter Number</t>
  </si>
  <si>
    <t>Remarks</t>
  </si>
  <si>
    <t>Panrel Brand</t>
  </si>
  <si>
    <t>Main CB Rating</t>
  </si>
  <si>
    <t>Panel Condition (1 to 5)</t>
  </si>
  <si>
    <t>INSPECTOR</t>
  </si>
  <si>
    <t>Mounting Type</t>
  </si>
  <si>
    <t>Mounting Height (CM)</t>
  </si>
  <si>
    <t>Contactor Capacity</t>
  </si>
  <si>
    <t>MCCB Manufacturer</t>
  </si>
  <si>
    <t>Model Number</t>
  </si>
  <si>
    <t>ASSET_TAG</t>
  </si>
  <si>
    <t>MXASSETNUM</t>
  </si>
  <si>
    <t>ITS- IFP-18</t>
  </si>
  <si>
    <t>ENC-30/31</t>
  </si>
  <si>
    <t>Y</t>
  </si>
  <si>
    <t>ENC-30/31 conneceted to ITS-FP-18</t>
  </si>
  <si>
    <t>schenider</t>
  </si>
  <si>
    <t>Eric</t>
  </si>
  <si>
    <t>Floor Mounting</t>
  </si>
  <si>
    <t>100A</t>
  </si>
  <si>
    <t>SIEMENS</t>
  </si>
  <si>
    <t>NSYPL1073G</t>
  </si>
  <si>
    <t>DA57-EXP2000-ITS-IFP-03202</t>
  </si>
  <si>
    <t>ITS-FP-21</t>
  </si>
  <si>
    <t>ENC-28,29 &amp;31</t>
  </si>
  <si>
    <t>N/A</t>
  </si>
  <si>
    <t>Schneider Electric single door</t>
  </si>
  <si>
    <t>WA91-SEC2020-ITS-IFP-03101</t>
  </si>
  <si>
    <t>ITS- IFP-05602</t>
  </si>
  <si>
    <t>ENC-57</t>
  </si>
  <si>
    <t>ENC-57 conneceted to ITS-FP</t>
  </si>
  <si>
    <t>DA57-EXP2000-ITS-IFP-05602</t>
  </si>
  <si>
    <t>ITS-FP-37</t>
  </si>
  <si>
    <t>ENC-53,54 &amp;51A</t>
  </si>
  <si>
    <t>ATS on site</t>
  </si>
  <si>
    <t>WA91-EXP0490-ITS-IFP-05401</t>
  </si>
  <si>
    <t>ITS-FP-51</t>
  </si>
  <si>
    <t>ENC-80</t>
  </si>
  <si>
    <t>WA91-SEC2028-ITS-IFP-08001</t>
  </si>
  <si>
    <t>ITS-FP-53</t>
  </si>
  <si>
    <t>Farooq</t>
  </si>
  <si>
    <t>RA56-EXP2000-ITS-IFP-07901</t>
  </si>
  <si>
    <t>P0-FP-ITS-14</t>
  </si>
  <si>
    <t>ENC-19 &amp; 21</t>
  </si>
  <si>
    <t>Patrick</t>
  </si>
  <si>
    <t>160A</t>
  </si>
  <si>
    <t>GE FD160</t>
  </si>
  <si>
    <t>RA81-EXP2000-ITS-IFP-01901</t>
  </si>
  <si>
    <t>ITS-IFP-00101</t>
  </si>
  <si>
    <t>ENC-01</t>
  </si>
  <si>
    <t>ENC-01 conneceted to ITS-FP</t>
  </si>
  <si>
    <t>RA81-EXP2000-ITS-IFP-00101</t>
  </si>
  <si>
    <t>ITS-FP-12</t>
  </si>
  <si>
    <t>ENC-16&amp;17</t>
  </si>
  <si>
    <t>ENC-16 ENC-17 conneceted to ITS-FP12, Have ATS</t>
  </si>
  <si>
    <t>RA81-EXP2000-ITS-IFP-01501</t>
  </si>
  <si>
    <t>P10-FP-ITS-4</t>
  </si>
  <si>
    <t>ENC-09 &amp; 04</t>
  </si>
  <si>
    <t>ATS on site and Main MCB is connected to P0-FP-ITS-4A</t>
  </si>
  <si>
    <t>RA81-EXP2000-ITS-IFP-00302</t>
  </si>
  <si>
    <t>ITS-FP-6</t>
  </si>
  <si>
    <t>RA81-EXP2000-ITS-IFP-01201</t>
  </si>
  <si>
    <t>PO-ITS-FP-14</t>
  </si>
  <si>
    <t>ENC 19 &amp; 21</t>
  </si>
  <si>
    <t>RA81-SEC0200-ITS-IFP-01301</t>
  </si>
  <si>
    <t>ITS-FP-01402</t>
  </si>
  <si>
    <t>ENC-14</t>
  </si>
  <si>
    <t>RA81-EXP2000-ITS-IFP-01402</t>
  </si>
  <si>
    <t>ITS-FP-43</t>
  </si>
  <si>
    <t>ENC 70</t>
  </si>
  <si>
    <t>Spare 32Amp 16nos</t>
  </si>
  <si>
    <t>100AMp</t>
  </si>
  <si>
    <t>RA56-EXP2000-ITS-IFP4201</t>
  </si>
  <si>
    <t>ITS-IFP-01</t>
  </si>
  <si>
    <t>ENC-IEC-1/6</t>
  </si>
  <si>
    <t>ENC-IEC-1/6 CONNECTED TO ITS-FP01</t>
  </si>
  <si>
    <t>Schinder</t>
  </si>
  <si>
    <t>80A</t>
  </si>
  <si>
    <t>SCHNEIDER</t>
  </si>
  <si>
    <t>RA53-PRM373-ITS-IFP-002</t>
  </si>
  <si>
    <t>ITS- FP- 02</t>
  </si>
  <si>
    <t>ENC22-PWA-5I</t>
  </si>
  <si>
    <t>ENC-22 /PWA-51 conneceted to ITS-FP</t>
  </si>
  <si>
    <t>RA53-PRM373-ITS-IFP-003</t>
  </si>
  <si>
    <t>ITS-FP-03</t>
  </si>
  <si>
    <t>ENC-13&amp;14</t>
  </si>
  <si>
    <t>Yussuph</t>
  </si>
  <si>
    <t>RA53-PRM373-ITS-IFP-001</t>
  </si>
  <si>
    <t>ITS-FP-10</t>
  </si>
  <si>
    <t>DA50-EXP0270-ITS-IFP-02002</t>
  </si>
  <si>
    <t>ITS-FP-13</t>
  </si>
  <si>
    <t>ENC-25,26 &amp;27</t>
  </si>
  <si>
    <t>DA47-EXP0270-ITS-IFP-02502</t>
  </si>
  <si>
    <t>ITS-FP-32</t>
  </si>
  <si>
    <t>ENC59 /ENC49A</t>
  </si>
  <si>
    <t>ATS installed / CB 32A spare 16nos</t>
  </si>
  <si>
    <t>Schneider Single Door cabinet</t>
  </si>
  <si>
    <t>100A/Siemens</t>
  </si>
  <si>
    <t>DA57-EXP2000-ITS-IFP-04901</t>
  </si>
  <si>
    <t>ITS-FP-34</t>
  </si>
  <si>
    <t>ENC 60 &amp; 25</t>
  </si>
  <si>
    <t>Sapre 32AMp 3nos,40AMp 1nos</t>
  </si>
  <si>
    <t>100a</t>
  </si>
  <si>
    <t>DA57-EXP0100-ITS-IFP-06002</t>
  </si>
  <si>
    <t>ITS-FP-00601</t>
  </si>
  <si>
    <t>WA91-EXP2000-ITS-IFP-00601</t>
  </si>
  <si>
    <t>ITS-FP-50</t>
  </si>
  <si>
    <t>WA91-SEC2028-ITS-IFP-08201</t>
  </si>
  <si>
    <t>ITS-FP-52</t>
  </si>
  <si>
    <t>ENC-81</t>
  </si>
  <si>
    <t>WA91-EXP2000-ITS-IFP-08102</t>
  </si>
  <si>
    <t>ITS-IFP-01701</t>
  </si>
  <si>
    <t>WA91-EXP2000-ITS-IFP-01701</t>
  </si>
  <si>
    <t>ITS-FP-16</t>
  </si>
  <si>
    <t>ENC-24 &amp;24A</t>
  </si>
  <si>
    <t>Schneider</t>
  </si>
  <si>
    <t>WA91-EXP2000-ITS-IFP-02601</t>
  </si>
  <si>
    <t>ITS-FP-15</t>
  </si>
  <si>
    <t>ENC-28</t>
  </si>
  <si>
    <t>DA50-EXP0270-ITS-IFP-02801</t>
  </si>
  <si>
    <t>Shneider Electric single door</t>
  </si>
  <si>
    <t>230A</t>
  </si>
  <si>
    <t>DA50-EXP0270-ITS-IFP-02901</t>
  </si>
  <si>
    <t>ITS-IFP-0002</t>
  </si>
  <si>
    <t>ENC-1 ENC-2</t>
  </si>
  <si>
    <t>ENC-1 ENC- conneceted to ITS-FP0002</t>
  </si>
  <si>
    <t>RA51-EXP0373-ITS-IFP-00102</t>
  </si>
  <si>
    <t>N</t>
  </si>
  <si>
    <t>KHADAR</t>
  </si>
  <si>
    <t>RA53-PRM0373-ITS-IFP-0001</t>
  </si>
  <si>
    <t>ITS- FP- 03</t>
  </si>
  <si>
    <t>ENC -03/04/05</t>
  </si>
  <si>
    <t>ENC-03/04/04 conneceted to ITS-FP03</t>
  </si>
  <si>
    <t>RA53-EXP0373-ITS-IFP-00301</t>
  </si>
  <si>
    <t>ITS-FP-04</t>
  </si>
  <si>
    <t>ENC-6, 7&amp;8</t>
  </si>
  <si>
    <t>RA53-EXP0373-ITS-IFP-00901</t>
  </si>
  <si>
    <t>ITS- IFP-0004</t>
  </si>
  <si>
    <t>ENC -06/08/09</t>
  </si>
  <si>
    <t>ENC--06/08/09 conneceted to ITS-FP0004</t>
  </si>
  <si>
    <t>RA53-EXP0373-ITS-IFP-00601</t>
  </si>
  <si>
    <t>P04/ITS-FP-06</t>
  </si>
  <si>
    <t>ENC 11 &amp; 12</t>
  </si>
  <si>
    <t>Kaharama installed but still no power meter</t>
  </si>
  <si>
    <t>100 Amp</t>
  </si>
  <si>
    <t>RA51-EXP0373-ITS-IFP-01101</t>
  </si>
  <si>
    <t>RA53-PRM0373-ITS-IFP-0004</t>
  </si>
  <si>
    <t>ITS-FP-05</t>
  </si>
  <si>
    <t>ENC09&amp;10</t>
  </si>
  <si>
    <t>RA53-PRM0373-ITS-IFP-0005</t>
  </si>
  <si>
    <t>N//A</t>
  </si>
  <si>
    <t>NO WORKING ITS-FP-O3</t>
  </si>
  <si>
    <t>RA51-PRM0373-ITS-IFP-0003</t>
  </si>
  <si>
    <t>ITS-FP-24</t>
  </si>
  <si>
    <t>ENC-39</t>
  </si>
  <si>
    <t>WA91-EXP2000-ITS-IFP-03901</t>
  </si>
  <si>
    <t>P04-ITS-FP-09</t>
  </si>
  <si>
    <t>ENC-17 ENC-18 ENC-19</t>
  </si>
  <si>
    <t>NO KM NUMBER</t>
  </si>
  <si>
    <t>RA53-EXP0621-ITS-IFP-01701</t>
  </si>
  <si>
    <t>P04-ITS-FP-11</t>
  </si>
  <si>
    <t>ENC-22 ENC-21 ENC-13 ENC-15 ENC-16</t>
  </si>
  <si>
    <t>RA51-EXP1755-ITS-IFP-01501</t>
  </si>
  <si>
    <t>P04-ITS-FP-12</t>
  </si>
  <si>
    <t>ENC-24</t>
  </si>
  <si>
    <t>RA51-EXP0373-ITS-IFP-02401</t>
  </si>
  <si>
    <t>P04-ITS-FP-13</t>
  </si>
  <si>
    <t>ENC-22 ENC-16 ENC-15A</t>
  </si>
  <si>
    <t>RA51-EXP1755-ITS-IFP-01601</t>
  </si>
  <si>
    <t>P04-ITS-FP-14</t>
  </si>
  <si>
    <t>ENC-26 ENC-27</t>
  </si>
  <si>
    <t>RA53-EXP0373-ITS-IFP-02501</t>
  </si>
  <si>
    <t>P04-ITS-FP-15</t>
  </si>
  <si>
    <t>ENC-29</t>
  </si>
  <si>
    <t>NO INCOMING POWER KM-FP</t>
  </si>
  <si>
    <t>RA51-EXP0373-ITS-IFP-02801</t>
  </si>
  <si>
    <t>P04-ITS-FP-16</t>
  </si>
  <si>
    <t>ENC-NO LABELING</t>
  </si>
  <si>
    <t>RA51-EXP0373-ITS-IFP-03101</t>
  </si>
  <si>
    <t>Still construction</t>
  </si>
  <si>
    <t>Umair</t>
  </si>
  <si>
    <t>RA51-PRM0373-ITS-IFP-0008</t>
  </si>
  <si>
    <t>ENC-3A conneceted to ITS-FP23</t>
  </si>
  <si>
    <t>RA51-PRM0373-ITS-IFP-0009</t>
  </si>
  <si>
    <t>Location not visible; feeder not</t>
  </si>
  <si>
    <t>AS80-PRM0373-ITS-IFP-0001</t>
  </si>
  <si>
    <t>P04/ITS-FP-19</t>
  </si>
  <si>
    <t>ENC 45 &amp; 46 &amp; 47 &amp; 48</t>
  </si>
  <si>
    <t>Spare CB 32Amp 14 nos, ATS on site</t>
  </si>
  <si>
    <t>100Amp</t>
  </si>
  <si>
    <t>RA53-EXP0373-ITS-IFP-04501</t>
  </si>
  <si>
    <t>ITS-FP-39</t>
  </si>
  <si>
    <t>ENC-52</t>
  </si>
  <si>
    <t>WA91-EXP0490-ITS-IFP-05203</t>
  </si>
  <si>
    <t>WA91-EXP0490-ITS-IFP-05202</t>
  </si>
  <si>
    <t>ITS-FP-02-5</t>
  </si>
  <si>
    <t>ENC-4A</t>
  </si>
  <si>
    <t>Kaharam on site but Meter not installed</t>
  </si>
  <si>
    <t>WA91-EXP2000-ITS-IFP-00702</t>
  </si>
  <si>
    <t>ITS-FP-11</t>
  </si>
  <si>
    <t>ENC-18A</t>
  </si>
  <si>
    <t>WA91-EXP2000-ITS-IFP-01802</t>
  </si>
  <si>
    <t>ITS-FP-54</t>
  </si>
  <si>
    <t>ENC-86</t>
  </si>
  <si>
    <t>RA56-EXP2000-ITS-IFP-08301</t>
  </si>
  <si>
    <t>P04/ITS-FP-21</t>
  </si>
  <si>
    <t>ENC-53 &amp; 52</t>
  </si>
  <si>
    <t>Spare 20 Amp 1 nos, 63 Amp 1 nos, 32 Amp 1 nos</t>
  </si>
  <si>
    <t>AS80-EXP0373-ITS-IFP-05201</t>
  </si>
  <si>
    <t>P04/ITS-FP-23</t>
  </si>
  <si>
    <t>ENC-58 &amp; 59</t>
  </si>
  <si>
    <t>Spare 32Amp 16 nos, ATS no site</t>
  </si>
  <si>
    <t>AS80-EXP0373-ITS-IFP-05701</t>
  </si>
  <si>
    <t>P04/ITS-FP-22</t>
  </si>
  <si>
    <t>ENC-54 &amp; 55 &amp; 56</t>
  </si>
  <si>
    <t>Spare 80 Amp 1 nos, 63 Amp 1 nos, 32 Amp 1 nos, FP 22 Connected with FP 22A</t>
  </si>
  <si>
    <t>AS80-EXP0373-ITS-IFP-05402</t>
  </si>
  <si>
    <t>P40/ITS-FP-25</t>
  </si>
  <si>
    <t>ENC 63</t>
  </si>
  <si>
    <t>Spare CB 32amp 17 nos, ATS on site</t>
  </si>
  <si>
    <t>AS80-EXP0373-ITS-IFP-06302</t>
  </si>
  <si>
    <t>P04/ITS-FP-24</t>
  </si>
  <si>
    <t>ENC-59 &amp; 60 &amp; 61 &amp; 62</t>
  </si>
  <si>
    <t>MTS is dmage</t>
  </si>
  <si>
    <t>AS80-EXP0373-ITS-IFP-05901</t>
  </si>
  <si>
    <t>P04/ITS-FP-26</t>
  </si>
  <si>
    <t>ENC 67</t>
  </si>
  <si>
    <t>Spare CB 32 Amp 1 nos, 40AMp 1nos, 63 Amp 1nos</t>
  </si>
  <si>
    <t>AS80-EXP0373-ITS-IFP-06401</t>
  </si>
  <si>
    <t>ENC 24</t>
  </si>
  <si>
    <t>Feeding from EX-TSC-06 Not in kharama</t>
  </si>
  <si>
    <t>DA40-EXP0330-ITS-IFP-02401</t>
  </si>
  <si>
    <t>ENC 26</t>
  </si>
  <si>
    <t>DA24-EXP0330-ITS-IFP-02601</t>
  </si>
  <si>
    <t>ITS-FP-31A</t>
  </si>
  <si>
    <t>ENC-33,34,35</t>
  </si>
  <si>
    <t>Feeding From SLFP/Z39/5</t>
  </si>
  <si>
    <t>DA39-EXP0340-ITS-IFP-03302</t>
  </si>
  <si>
    <t>ITS-FP-31</t>
  </si>
  <si>
    <t>ENC-34,33,&amp;35</t>
  </si>
  <si>
    <t>ITS-FP-31 MCB is connected to ITS-FP-31A</t>
  </si>
  <si>
    <t>DA39-EXP0340-ITS-IFP-03301</t>
  </si>
  <si>
    <t>NO ITS-FP Cabinet on iste</t>
  </si>
  <si>
    <t>DA40-PRM0339-ITS-IFP-0001</t>
  </si>
  <si>
    <t>ITS-FP-26</t>
  </si>
  <si>
    <t>ENC-44,41A &amp; 45A</t>
  </si>
  <si>
    <t>WA91-EXP2000-ITS-IFP-04102</t>
  </si>
  <si>
    <t>ITS-IFP-00201</t>
  </si>
  <si>
    <t>ENC-02 &amp; 02A</t>
  </si>
  <si>
    <t>Kharama is on site but Meter is not installed.</t>
  </si>
  <si>
    <t>WA91-EXP2000-ITS-IFP-00201</t>
  </si>
  <si>
    <t>ITS-FP-55</t>
  </si>
  <si>
    <t>ENC-87</t>
  </si>
  <si>
    <t>WA91-EXP2000-ITS-IFP-08501</t>
  </si>
  <si>
    <t>ITS-FP-56</t>
  </si>
  <si>
    <t>ENC-86A,FP-54 &amp; FP-01</t>
  </si>
  <si>
    <t>RA56-EXP2000-ITS-IFP-08401</t>
  </si>
  <si>
    <t>ITS-FP-0901</t>
  </si>
  <si>
    <t>WA91-SEC2001-ITS-IFP-00801</t>
  </si>
  <si>
    <t>ITS-FP-33</t>
  </si>
  <si>
    <t>ENC-36,46,35 &amp; UPS</t>
  </si>
  <si>
    <t>DA40-EXP0340-ITS-IFP-03601</t>
  </si>
  <si>
    <t>ENC-39 &amp;40</t>
  </si>
  <si>
    <t>DA24-EXP0340-ITS-IFP-03801</t>
  </si>
  <si>
    <t>ITS-FP-01</t>
  </si>
  <si>
    <t>ENC 01,02,03</t>
  </si>
  <si>
    <t>There is no kharama panel around</t>
  </si>
  <si>
    <t>RA56-EXP0271-ITS-IFP-00101</t>
  </si>
  <si>
    <t>ITS-FP-19</t>
  </si>
  <si>
    <t>ENC-35</t>
  </si>
  <si>
    <t>200A</t>
  </si>
  <si>
    <t>DA48-EXP0270-ITS-IFP-03501</t>
  </si>
  <si>
    <t>ITS-IFP-03602</t>
  </si>
  <si>
    <t>ENC-36,37,MOI</t>
  </si>
  <si>
    <t>MCB power is connected from IFP-03601 Cabinet</t>
  </si>
  <si>
    <t>125A</t>
  </si>
  <si>
    <t>Ground Mounting</t>
  </si>
  <si>
    <t>DA48-EXP0270-ITS-IFP-03602</t>
  </si>
  <si>
    <t>ITS-FP-02</t>
  </si>
  <si>
    <t>ENC 04</t>
  </si>
  <si>
    <t>Feeding from ITS-FP-05</t>
  </si>
  <si>
    <t>RA56-EXP0271-ITS-IFP-00401</t>
  </si>
  <si>
    <t>P01/ITS-FP-03</t>
  </si>
  <si>
    <t>ENC,05,06,07</t>
  </si>
  <si>
    <t>No Kharama is near the feeder cabin</t>
  </si>
  <si>
    <t>RA56-EXP0271-ITS-IFP-00502</t>
  </si>
  <si>
    <t>ITS-FP-3A</t>
  </si>
  <si>
    <t>ENC-08</t>
  </si>
  <si>
    <t>Feeding to ENC-08, SIEMENS,40A</t>
  </si>
  <si>
    <t>Sanjeewa</t>
  </si>
  <si>
    <t>RA56-EXP0271-ITS-IFP-00501</t>
  </si>
  <si>
    <t>Z50-SLFP-43</t>
  </si>
  <si>
    <t>ENC-09,ENC-10,ENC-11</t>
  </si>
  <si>
    <t>Feeding to ENC-09(80A),ENC-10(40A),ENC-11(63A), SIEMENS</t>
  </si>
  <si>
    <t>DA50-EXP0270-ITS-IFP-00901</t>
  </si>
  <si>
    <t>ITS-FP-07</t>
  </si>
  <si>
    <t>ENC-14,16,17</t>
  </si>
  <si>
    <t>4 outputs available. 3 outputs have labels, 1 output has no label,</t>
  </si>
  <si>
    <t>DA46-EXP0270-ITS-IFP-01602</t>
  </si>
  <si>
    <t>ITS-FP-08</t>
  </si>
  <si>
    <t>ENC-18 &amp; 19</t>
  </si>
  <si>
    <t>FP08 Connected with FP08A, CB 32A Spare 15 No's- GND Missing, ATS on Site</t>
  </si>
  <si>
    <t>DA46-EXP0270-ITS-IFP-01803</t>
  </si>
  <si>
    <t>ITS-FP-06</t>
  </si>
  <si>
    <t>ENC,12,13,15</t>
  </si>
  <si>
    <t>DA46-EXP0270-ITS-IFP-01402</t>
  </si>
  <si>
    <t>ITS-FP-14</t>
  </si>
  <si>
    <t>ENC 72&amp;76</t>
  </si>
  <si>
    <t>RA56-EXP2000-ITS-IFP-06801</t>
  </si>
  <si>
    <t>ITS-FP-44</t>
  </si>
  <si>
    <t>ENC 71 &amp; 73 &amp; 73A</t>
  </si>
  <si>
    <t>Spare 32Amp 15nos</t>
  </si>
  <si>
    <t>RA56-EXP2000-ITS-IFP-06901</t>
  </si>
  <si>
    <t>ITS-FP-22</t>
  </si>
  <si>
    <t>ENC-90</t>
  </si>
  <si>
    <t>WA91-EXP2000-ITS-IFP-03701</t>
  </si>
  <si>
    <t>P10/ITS-FP-19</t>
  </si>
  <si>
    <t>ENC32/ ENC33 ENC 25</t>
  </si>
  <si>
    <t>ATS installed /Main GND Cable Minning/CB 32A spare 15nos</t>
  </si>
  <si>
    <t>DA57-SEC0150-ITS-IFP-03401</t>
  </si>
  <si>
    <t>ITS-FP-28</t>
  </si>
  <si>
    <t>ENC-45</t>
  </si>
  <si>
    <t>WA91-EXP2000-ITS-IFP-04301</t>
  </si>
  <si>
    <t>ITS-FP-41</t>
  </si>
  <si>
    <t>ENC 67 &amp; 67A</t>
  </si>
  <si>
    <t>Spare 32AMp 16nos</t>
  </si>
  <si>
    <t>RA56-EXP2000-ITS-IFP-06401</t>
  </si>
  <si>
    <t>ITS-FP-46</t>
  </si>
  <si>
    <t>ENC 74 &amp; 74A</t>
  </si>
  <si>
    <t>RA56-EXP2000-ITS-IFP-07001</t>
  </si>
  <si>
    <t>ITS-FP-57</t>
  </si>
  <si>
    <t>ENC-86 &amp; 87</t>
  </si>
  <si>
    <t>WA91-EXP2000-ITS-IFP-08602</t>
  </si>
  <si>
    <t>ITS-FP-17</t>
  </si>
  <si>
    <t>ENC24</t>
  </si>
  <si>
    <t>ATS installed /Main GND Cable Minning/CB 32A spare 17nos</t>
  </si>
  <si>
    <t>DA57-EXP2000-ITS-IFP-02401</t>
  </si>
  <si>
    <t>ITS-FP-23</t>
  </si>
  <si>
    <t>ENC 37</t>
  </si>
  <si>
    <t>DA57-EXP2000-ITS-IFP-03601</t>
  </si>
  <si>
    <t>P10/ITS-FP-27</t>
  </si>
  <si>
    <t>ENC46 /ENC46A /MOI-SSD</t>
  </si>
  <si>
    <t>DA57-EXP2000-ITS-IFP-04501</t>
  </si>
  <si>
    <t>ITS-FP-30</t>
  </si>
  <si>
    <t>MOI-SSD connected to FP-30 cabinet and Have ATS</t>
  </si>
  <si>
    <t>WA91-EXP2000-ITS-IFP-04701</t>
  </si>
  <si>
    <t>ENC 49 /ENC57</t>
  </si>
  <si>
    <t>DA57-EXP2000-ITS-IFP-04801</t>
  </si>
  <si>
    <t>ENC-50</t>
  </si>
  <si>
    <t>WA91-EXP2000-ITS-IFP-05001</t>
  </si>
  <si>
    <t>ITS-FP-40</t>
  </si>
  <si>
    <t>ENC-64,65 &amp;65A</t>
  </si>
  <si>
    <t>WA91-EXP2000-ITS-IFP-06201</t>
  </si>
  <si>
    <t>ITS-FP-47</t>
  </si>
  <si>
    <t>ENC-77,78,94,74B &amp;74</t>
  </si>
  <si>
    <t>RA56-SEC0300-ITS-IFP-07701</t>
  </si>
  <si>
    <t>ITS-FP-20</t>
  </si>
  <si>
    <t>ENC 35 &amp; 32A</t>
  </si>
  <si>
    <t>ATS Damage / log sheet holder missing / Spare CB 32A 15nos</t>
  </si>
  <si>
    <t>DA57-SEC0150-ITS-IFP-03502</t>
  </si>
  <si>
    <t>ITS-FP-25</t>
  </si>
  <si>
    <t>ENC 41</t>
  </si>
  <si>
    <t>DA57-EXP2000-ITS-IFP-04001</t>
  </si>
  <si>
    <t>ITS-IFP-15</t>
  </si>
  <si>
    <t>ENC-22 &amp;23</t>
  </si>
  <si>
    <t>DA57-EXP2000-ITS-IFP-02202</t>
  </si>
  <si>
    <t>ITS-FP-49</t>
  </si>
  <si>
    <t>ENC-76 &amp; 76A</t>
  </si>
  <si>
    <t>WA91-EXP2000-ITS-IFP-07602</t>
  </si>
  <si>
    <t>ITS-FP-10-02</t>
  </si>
  <si>
    <t>ENC-66,69,67 &amp; 69A</t>
  </si>
  <si>
    <t>WA91-EXP2000-ITS-IFP-06501</t>
  </si>
  <si>
    <t>P12/ITS-FP-33</t>
  </si>
  <si>
    <t>ENC-77 &amp; ENC-79</t>
  </si>
  <si>
    <t>FP-21</t>
  </si>
  <si>
    <t>BUP-FP-19</t>
  </si>
  <si>
    <t>ENC-61</t>
  </si>
  <si>
    <t>FP-19</t>
  </si>
  <si>
    <t>ITS-FP-10A</t>
  </si>
  <si>
    <t>ENC 40</t>
  </si>
  <si>
    <t>Feeder Door was damaged</t>
  </si>
  <si>
    <t>FP-10A</t>
  </si>
  <si>
    <t>ITS-FP-12A</t>
  </si>
  <si>
    <t>ENC 44,46</t>
  </si>
  <si>
    <t>FP-12A</t>
  </si>
  <si>
    <t>ENC-10</t>
  </si>
  <si>
    <t>The feeder door lock is faulty</t>
  </si>
  <si>
    <t>FP-04</t>
  </si>
  <si>
    <t>ENC 08,16</t>
  </si>
  <si>
    <t>In this feeder door, the lock and lock area is broken</t>
  </si>
  <si>
    <t>FP-06</t>
  </si>
  <si>
    <t>ITS-FP-02C</t>
  </si>
  <si>
    <t>ENC 14</t>
  </si>
  <si>
    <t>The feeder door was damaged</t>
  </si>
  <si>
    <t>FP-02C</t>
  </si>
  <si>
    <t>ENC 26,53</t>
  </si>
  <si>
    <t>FP-15</t>
  </si>
  <si>
    <t>ENC 22,43,45</t>
  </si>
  <si>
    <t>1273836/1277456</t>
  </si>
  <si>
    <t>ATS Available Dual Supplye Power coming Frome KM</t>
  </si>
  <si>
    <t>FP-13</t>
  </si>
  <si>
    <t>1226590/1226589</t>
  </si>
  <si>
    <t>ATS Available Dual Supplye Power coming Frome KM / The feeder cabin door was damaged</t>
  </si>
  <si>
    <t>FP-11</t>
  </si>
  <si>
    <t>ENC 109 &amp; 111</t>
  </si>
  <si>
    <t>FP-47</t>
  </si>
  <si>
    <t>ITS-FP-06A</t>
  </si>
  <si>
    <t>ENC 24,47</t>
  </si>
  <si>
    <t>FP-06A</t>
  </si>
  <si>
    <t>ITS-FP-01A</t>
  </si>
  <si>
    <t>ENC 04+ 04A</t>
  </si>
  <si>
    <t>CB 20A Spare 3no</t>
  </si>
  <si>
    <t>RA56-EXP100-ITS-IFP0100A</t>
  </si>
  <si>
    <t>ENC 05+ 06</t>
  </si>
  <si>
    <t>CB 25A Spare 2no /CB 16A Spare 1no</t>
  </si>
  <si>
    <t>RA56-EXP100-ITS-IFP0200</t>
  </si>
  <si>
    <t>ENC 07+ 08+09+10</t>
  </si>
  <si>
    <t>CB 16A Spare 3no</t>
  </si>
  <si>
    <t>RA56-EXP100-ITS-IFP0300</t>
  </si>
  <si>
    <t>ENC 11+ 12+13</t>
  </si>
  <si>
    <t>CB 25A Spare 1no /CB 16A Spare 1no</t>
  </si>
  <si>
    <t>RA56-EXP100-ITS-IFP0400</t>
  </si>
  <si>
    <t>ENC 14+ 15+16+17</t>
  </si>
  <si>
    <t>RA56-EXP100-ITS-IFP0500</t>
  </si>
  <si>
    <t>ENC 18+21+21A+21B+19+19+20+20A</t>
  </si>
  <si>
    <t>CB 25A Spare 1no/CB-16A Spare 1no</t>
  </si>
  <si>
    <t>RA56-EXP100-ITS-IFP0600</t>
  </si>
  <si>
    <t>ITS-FP-7</t>
  </si>
  <si>
    <t>ENC-22,23,24 &amp;25</t>
  </si>
  <si>
    <t>CB 16A Spare 1no CB 25A SPARE 3NOS</t>
  </si>
  <si>
    <t>RA56-EXP100-ITS-IFP0700</t>
  </si>
  <si>
    <t>ENC-01,02 &amp;03</t>
  </si>
  <si>
    <t>DA57-EXP100-ITS-IFP0101</t>
  </si>
  <si>
    <t>ITS-IFP-000038</t>
  </si>
  <si>
    <t>3PME-01</t>
  </si>
  <si>
    <t>23PME-01 CONNECTED TO ITS-IFP00038</t>
  </si>
  <si>
    <t>ZA70-EXP0235-ITS-IFP-00038</t>
  </si>
  <si>
    <t>AKE-P02-ITS-FP15</t>
  </si>
  <si>
    <t>78GME-01,77PME-01 &amp;18PME-01</t>
  </si>
  <si>
    <t>ZA70-EXP0235-ITS-IFP-00037</t>
  </si>
  <si>
    <t>ITS-I FP-00039</t>
  </si>
  <si>
    <t>86GME-01</t>
  </si>
  <si>
    <t>86GME-01 CONNECTED TO ITS-IFP00039</t>
  </si>
  <si>
    <t>ZA70-EXP0235-ITS-IFP-00039</t>
  </si>
  <si>
    <t>ITS-IFP-00040</t>
  </si>
  <si>
    <t>89PME-1</t>
  </si>
  <si>
    <t>89PME-01 CONNECTED TO ITS-IFP00040</t>
  </si>
  <si>
    <t>ZA70-EXP0235-ITS-IFP-00040</t>
  </si>
  <si>
    <t>ITS- IFP-00041</t>
  </si>
  <si>
    <t>12PME-01</t>
  </si>
  <si>
    <t>12PME-01 CONNECTED TO ITS-IFP00041</t>
  </si>
  <si>
    <t>ZA70-EXP0235-ITS-IFP-00041</t>
  </si>
  <si>
    <t>ITS- IFP-00042</t>
  </si>
  <si>
    <t>96GME-01 95PME-01</t>
  </si>
  <si>
    <t>96GME-01 95PME-01 CONNECTED TO ITS-IFP00042</t>
  </si>
  <si>
    <t>ZA70-EXP0235-ITS-IFP-00042</t>
  </si>
  <si>
    <t>ITS-FP-04A</t>
  </si>
  <si>
    <t>ENC-20</t>
  </si>
  <si>
    <t>1226594/1226600</t>
  </si>
  <si>
    <t>#This feeder running throw 
 Two input kharama power lines.
 #in this feeder Tottal three out put are available 
 Only one having label. 
 #The Kharama Cabin No.1226600
 Missing door cover</t>
  </si>
  <si>
    <t>FP-04A</t>
  </si>
  <si>
    <t>ENC 38,57,59</t>
  </si>
  <si>
    <t>FP-17</t>
  </si>
  <si>
    <t>ITS-FP-30A</t>
  </si>
  <si>
    <t>ENC 84</t>
  </si>
  <si>
    <t>FP-30A</t>
  </si>
  <si>
    <t>ITS FP-02</t>
  </si>
  <si>
    <t>ENC 08</t>
  </si>
  <si>
    <t>It's feeding one connection, The feeder filler cabin door arm has broken</t>
  </si>
  <si>
    <t>Record Plus</t>
  </si>
  <si>
    <t>FP-02</t>
  </si>
  <si>
    <t>FP-01</t>
  </si>
  <si>
    <t>P12-ITS-FP-02C</t>
  </si>
  <si>
    <t>Feeder pillar door damage</t>
  </si>
  <si>
    <t>Schneider Electric</t>
  </si>
  <si>
    <t>Thameem</t>
  </si>
  <si>
    <t>FP-01C</t>
  </si>
  <si>
    <t>ENC 19,35</t>
  </si>
  <si>
    <t>FP-07</t>
  </si>
  <si>
    <t>ITS- IFP-05</t>
  </si>
  <si>
    <t>ENC-23/10</t>
  </si>
  <si>
    <t>y</t>
  </si>
  <si>
    <t>ENC-23/10 conneceted to ITS-FP-05</t>
  </si>
  <si>
    <t>FP-05</t>
  </si>
  <si>
    <t>ENC 13,15</t>
  </si>
  <si>
    <t>FP-03</t>
  </si>
  <si>
    <t>ITS-FP-3B</t>
  </si>
  <si>
    <t>ENC 7&amp; 11</t>
  </si>
  <si>
    <t>FP-05A</t>
  </si>
  <si>
    <t>ITS-FP-11B</t>
  </si>
  <si>
    <t>ENC-18,39</t>
  </si>
  <si>
    <t>FP-11B</t>
  </si>
  <si>
    <t>ITS-FP-05A</t>
  </si>
  <si>
    <t>FP-07A</t>
  </si>
  <si>
    <t>Near forces camp Survey not allowed; Our permit not accepted</t>
  </si>
  <si>
    <t>ZA70-EXP0235-ITS-IFP-00043</t>
  </si>
  <si>
    <t>110DGME-01/UPS-POWER</t>
  </si>
  <si>
    <t>110DGME-01 UPS-POWER CONNECTED TO ITS-FP-16</t>
  </si>
  <si>
    <t>ZA70-EXP0196-ITS-IFP-00044</t>
  </si>
  <si>
    <t>P03/ITS-FP-17</t>
  </si>
  <si>
    <t>3GME-01</t>
  </si>
  <si>
    <t>3GME-01 CONNECTED TO ITS-IFP-17</t>
  </si>
  <si>
    <t>ZA70-EXP0235-ITS-IFP-00045</t>
  </si>
  <si>
    <t>ITS-FP-18</t>
  </si>
  <si>
    <t>GME 105,117,120</t>
  </si>
  <si>
    <t>ZA70-EXP0235-ITS-IFP-00046</t>
  </si>
  <si>
    <t>106 GME 01</t>
  </si>
  <si>
    <t>ZA70-EXP0235-ITS-IFP-00047</t>
  </si>
  <si>
    <t>P03/ITS-FP-20</t>
  </si>
  <si>
    <t>7GME-01</t>
  </si>
  <si>
    <t>7GME-01 CONNECTED TO ITS-IFP-20</t>
  </si>
  <si>
    <t>ZA70-EXP0235-ITS-IFP-00048</t>
  </si>
  <si>
    <t>133 PME 01</t>
  </si>
  <si>
    <t>ZA70-EXP0235-ITS-IFP-00049</t>
  </si>
  <si>
    <t>128-GME-01</t>
  </si>
  <si>
    <t>Feeding to one connection, AKE P 04 ITS FP23</t>
  </si>
  <si>
    <t>ZA70-EXP0390-ITS-IFP-00050</t>
  </si>
  <si>
    <t>127 GME 01</t>
  </si>
  <si>
    <t>Feeding to one connection,</t>
  </si>
  <si>
    <t>ZA70-EXP0390-ITS-IFP-00051</t>
  </si>
  <si>
    <t>P04/ITS-FP-25</t>
  </si>
  <si>
    <t>125 GME 01 ,02</t>
  </si>
  <si>
    <t>Feeding two connections, 125 GME 01 ,02</t>
  </si>
  <si>
    <t>ZA70-EXP0390-ITS-IFP-00052</t>
  </si>
  <si>
    <t>23PME-01</t>
  </si>
  <si>
    <t>23PME-01 CONNECTED TO ITS-IFP- 26</t>
  </si>
  <si>
    <t>ZA70-EXP0235-ITS-IFP-00053</t>
  </si>
  <si>
    <t>P04/ITS-FP-27</t>
  </si>
  <si>
    <t>7GME-01 CONNECTED TO ITS-IFP-27</t>
  </si>
  <si>
    <t>ZA70-EXP0235-ITS-IFP-00054</t>
  </si>
  <si>
    <t>ITS-IFP-28</t>
  </si>
  <si>
    <t>13DGME-01/02/03</t>
  </si>
  <si>
    <t>13DME-01/02/03 CONNECTED TO ITS-IFP-27</t>
  </si>
  <si>
    <t>ZA70-SEC0389-ITS-IFP-00055</t>
  </si>
  <si>
    <t>P04/ITS-FP-29</t>
  </si>
  <si>
    <t>137 DGME 01</t>
  </si>
  <si>
    <t>ZA70-SEC0389-ITS-IFP-00056</t>
  </si>
  <si>
    <t>ITS- IFP-11A</t>
  </si>
  <si>
    <t>ENC-33/33A</t>
  </si>
  <si>
    <t>ENC-33/33A conneceted to ITS-FP11A</t>
  </si>
  <si>
    <t>FP-11A</t>
  </si>
  <si>
    <t>ITS-FP-03B</t>
  </si>
  <si>
    <t>ENC 07 &amp; 11</t>
  </si>
  <si>
    <t>FP-03B</t>
  </si>
  <si>
    <t>ITS- IFP-09A</t>
  </si>
  <si>
    <t>ENC-27 ENC31</t>
  </si>
  <si>
    <t>ENC-27 enc-31 conneceted to ITS-FP-09A</t>
  </si>
  <si>
    <t>FP-09A</t>
  </si>
  <si>
    <t>ITS- FP- 01A</t>
  </si>
  <si>
    <t>FP-01A</t>
  </si>
  <si>
    <t>ITS-FP-09</t>
  </si>
  <si>
    <t>FP-09</t>
  </si>
  <si>
    <t>ITS-FP-02A</t>
  </si>
  <si>
    <t>ENC-12</t>
  </si>
  <si>
    <t>FP-02A</t>
  </si>
  <si>
    <t>ITS-FP-18A</t>
  </si>
  <si>
    <t>ENC 58</t>
  </si>
  <si>
    <t>FP-18A</t>
  </si>
  <si>
    <t>ITS-FP-32-A</t>
  </si>
  <si>
    <t>ENC 86</t>
  </si>
  <si>
    <t>FP-32A</t>
  </si>
  <si>
    <t>ITS-FP-08B</t>
  </si>
  <si>
    <t>ENC 28,32,32A,34,36,49,55</t>
  </si>
  <si>
    <t>FP-08B</t>
  </si>
  <si>
    <t>FEC-17 &amp; 18</t>
  </si>
  <si>
    <t>Gnd gland missing, Spare 16 Amp 16 Nos, Cabniet Key reuired</t>
  </si>
  <si>
    <t>63 Amp</t>
  </si>
  <si>
    <t>AS80-SEC388-ITS-IFP-0813</t>
  </si>
  <si>
    <t>FEC-28/FEC-9</t>
  </si>
  <si>
    <t>FEC-28/FEC-9 CONNECTED TO ITS-FP-11</t>
  </si>
  <si>
    <t>AS72-SEC388-ITS-IFP-0821</t>
  </si>
  <si>
    <t>F19 FEC 21,22,23</t>
  </si>
  <si>
    <t>AS80-SEC388-ITS-IFP-0817</t>
  </si>
  <si>
    <t>161-PME-01</t>
  </si>
  <si>
    <t>Spare 10Amp 1 nos, 6 Amp 01nos</t>
  </si>
  <si>
    <t>ZA70-EXP0390-ITS-IFP-00057</t>
  </si>
  <si>
    <t>161 PM 01</t>
  </si>
  <si>
    <t>ZA70-EXP0390-ITS-IFP-00058</t>
  </si>
  <si>
    <t>157 PME 01, 157 GME 01, MOI</t>
  </si>
  <si>
    <t>Spare slot available</t>
  </si>
  <si>
    <t>ZA70-EXP0390-ITS-IFP-00059</t>
  </si>
  <si>
    <t>154 PME 01, 166 PME 01</t>
  </si>
  <si>
    <t>Spare 6Amp 01nos,</t>
  </si>
  <si>
    <t>ZA70-EXP0390-ITS-IFP-00060</t>
  </si>
  <si>
    <t>152 GME 01,</t>
  </si>
  <si>
    <t>Spare 10 Amp 01, 6Amp 01, Slot available, Tree bushes covering cabinet need solution</t>
  </si>
  <si>
    <t>ZA70-EXP0390-ITS-IFP-00061</t>
  </si>
  <si>
    <t>148 GME 01, 149 PME 01,</t>
  </si>
  <si>
    <t>Spare 10AMp 01nos</t>
  </si>
  <si>
    <t>ZA70-EXP0390-ITS-IFP-00062</t>
  </si>
  <si>
    <t>147 PME 01</t>
  </si>
  <si>
    <t>ZA70-EXP0390-ITS-IFP-00063</t>
  </si>
  <si>
    <t>ENC 27 &amp; 28, MOI</t>
  </si>
  <si>
    <t>Spare 16Amp 3nos,Log sheet holder missing</t>
  </si>
  <si>
    <t>40A</t>
  </si>
  <si>
    <t>KH74-EXP0390-ITS-IFP-00064</t>
  </si>
  <si>
    <t>174 GME 01 162 GME 01, MOI</t>
  </si>
  <si>
    <t>Spare 10Amp 1 nos,</t>
  </si>
  <si>
    <t>ZA70-EXP0390-ITS-IFP-00068</t>
  </si>
  <si>
    <t>184 DGME 01, 183 DGME 01, 183 UPS 01, OI</t>
  </si>
  <si>
    <t>Sapre space available for 6nos</t>
  </si>
  <si>
    <t>KH74-EXP0390-ITS-IFP-00065</t>
  </si>
  <si>
    <t>180 DGME 01, 180 PME 01</t>
  </si>
  <si>
    <t>Spare 6Amp 3nos</t>
  </si>
  <si>
    <t>KH74-EXP0390-ITS-IFP-00066</t>
  </si>
  <si>
    <t>ITS FP-05</t>
  </si>
  <si>
    <t>178 PME 01,179 GME 01</t>
  </si>
  <si>
    <t>ZA70-EXP0390-ITS-IFP-00067</t>
  </si>
  <si>
    <t>ENC-04,05,06</t>
  </si>
  <si>
    <t>ZA70-EXP0879-ITS-IFP-00069</t>
  </si>
  <si>
    <t>202 PME 01</t>
  </si>
  <si>
    <t>ZA70-SEC0879-ITS-IFP-00070</t>
  </si>
  <si>
    <t>F19 FEC 19,20</t>
  </si>
  <si>
    <t>AS80-SEC388-ITS-IFP-0815</t>
  </si>
  <si>
    <t>F19 FEC 15,16</t>
  </si>
  <si>
    <t>AS80-SEC388-ITS-IFP-0811</t>
  </si>
  <si>
    <t>F19 FEC 12,13,14</t>
  </si>
  <si>
    <t>Small damage noticed on feeder (visible on-site)</t>
  </si>
  <si>
    <t>AS80-SEC388-ITS-IFP-0809</t>
  </si>
  <si>
    <t>F19 FEC 09,10,11</t>
  </si>
  <si>
    <t>AS80-SEC388-ITS-IFP-0807</t>
  </si>
  <si>
    <t>FEC- 09 &amp; 10 &amp; 11</t>
  </si>
  <si>
    <t>GND Gland missing, Spare 16Amp CB 15 nos, Cabniet Key required</t>
  </si>
  <si>
    <t>63Amp</t>
  </si>
  <si>
    <t>AS80-SEC388-ITS-IFP-0806</t>
  </si>
  <si>
    <t>F19 FEC 07,08</t>
  </si>
  <si>
    <t>AS80-SEC388-ITS-IFP-0805</t>
  </si>
  <si>
    <t>ENC- 07 &amp; 08</t>
  </si>
  <si>
    <t>GND Gland missing, Spare 16Amp CB 15 nos, Cabniet Key required, Kahrama meter not available, Phase missing®</t>
  </si>
  <si>
    <t>AS80-SEC388-ITS-IFP-0804</t>
  </si>
  <si>
    <t>FEC-01+02+03</t>
  </si>
  <si>
    <t>AS80-SEC388-ITS-IFP-0800</t>
  </si>
  <si>
    <t>P19-FEC 01,02,03</t>
  </si>
  <si>
    <t>AS80-SEC388-ITS-IFP-0801</t>
  </si>
  <si>
    <t>ENC-31/30</t>
  </si>
  <si>
    <t>ENC-31/30 CONNECTED TO ITS-FP-12</t>
  </si>
  <si>
    <t>AS72-SEC388-ITS-IFP-0823</t>
  </si>
  <si>
    <t>P19-FEC 04,05,06</t>
  </si>
  <si>
    <t>AS80-SEC388-ITS-IFP-0803</t>
  </si>
  <si>
    <t>FEC 30/31</t>
  </si>
  <si>
    <t>GND Gland missing, CB16 Amp spare 16 nos Rain water going under cabinet, Ground level is down, Cabniet Key reuired</t>
  </si>
  <si>
    <t>AS72-SEC388-ITS-IFP-0822</t>
  </si>
  <si>
    <t>ENC-/24/25/26/27</t>
  </si>
  <si>
    <t>ENC-24 ENC-24/25/26/27 IS COMECTED TO FP-10,</t>
  </si>
  <si>
    <t>AS72-SEC388-ITS-IFP-0819</t>
  </si>
  <si>
    <t>ENC 02 DGME 01,02</t>
  </si>
  <si>
    <t>DA68-EXP0235-ITS-IFP-00001</t>
  </si>
  <si>
    <t>AKE-P01-ITS-FP-02</t>
  </si>
  <si>
    <t>04-GME-02</t>
  </si>
  <si>
    <t>DA68-EXP0235-ITS-IFP-00002</t>
  </si>
  <si>
    <t>GME-01</t>
  </si>
  <si>
    <t>kharama door damage</t>
  </si>
  <si>
    <t>DA68-EXP0235-ITS-IFP-00003</t>
  </si>
  <si>
    <t>AKE-P01-ITS-FP04</t>
  </si>
  <si>
    <t>09GME-01/02</t>
  </si>
  <si>
    <t>ZA70-SEC0800-ITS-IFP-00004</t>
  </si>
  <si>
    <t>AKE-P01-ITS-FP05</t>
  </si>
  <si>
    <t>08-DGME-01 &amp; 02</t>
  </si>
  <si>
    <t>DA68-SEC0800-ITS-IFP-00005</t>
  </si>
  <si>
    <t>AKE-P01-ITS-FP-06</t>
  </si>
  <si>
    <t>ZA69-SEC0800-ITS-IFP-00006</t>
  </si>
  <si>
    <t>AKE-P01-ITS-FP-07</t>
  </si>
  <si>
    <t>15WME-01 &amp; 15GME-01</t>
  </si>
  <si>
    <t>ZA69-EXP0235-ITS-IFP-00007</t>
  </si>
  <si>
    <t>ZA69-EXP0235-ITS-IFP-00008</t>
  </si>
  <si>
    <t>AKE-P01-ITS-FP12</t>
  </si>
  <si>
    <t>23DGME-01/02</t>
  </si>
  <si>
    <t>ZA70-EXP0600-ITS-IFP-00012</t>
  </si>
  <si>
    <t>AKE-P01-ITS-FP09</t>
  </si>
  <si>
    <t>16-GME-01/02 &amp;15-GME-02,06-GME-01</t>
  </si>
  <si>
    <t>ZA70-EXP0235-ITS-IFP-00009</t>
  </si>
  <si>
    <t>29 DGME 01 &amp; 02</t>
  </si>
  <si>
    <t>ZA69-EXP0235-ITS-IFP-00010</t>
  </si>
  <si>
    <t>AKE-P01-ITS-FP11</t>
  </si>
  <si>
    <t>19DGME-02 &amp; 18GME-03/04</t>
  </si>
  <si>
    <t>ZA70-EXP0235-ITS-IFP-00011</t>
  </si>
  <si>
    <t>AKE-P01-ITS-FP13</t>
  </si>
  <si>
    <t>26-GME-01</t>
  </si>
  <si>
    <t>ZA70-EXP0600-ITS-IFP-00013</t>
  </si>
  <si>
    <t>GME 01 &amp; GME 02</t>
  </si>
  <si>
    <t>ZA69-EXP0125-ITS-IFP-00014</t>
  </si>
  <si>
    <t>ITS-FP10</t>
  </si>
  <si>
    <t>FEC-14 &amp; 25 &amp; 16 &amp; 27</t>
  </si>
  <si>
    <t>Gnd Gland missing, Spare CB16 Amp 14 nos, Cabniet Key reuired</t>
  </si>
  <si>
    <t>AS72-SEC388-ITS-IFP-0818</t>
  </si>
  <si>
    <t>FEC-04 &amp; 05 &amp; 06</t>
  </si>
  <si>
    <t>Gnd Gland missing, Spare CB16 Amp 15 nos, Cabniet Key required</t>
  </si>
  <si>
    <t>AS80-SEC388-ITS-IFP-0802</t>
  </si>
  <si>
    <t>FEC- 14 &amp; 13 &amp; 12</t>
  </si>
  <si>
    <t>EL2158306934562</t>
  </si>
  <si>
    <t>Cabinet Damage,Kharama feeder is avilable but no meter number</t>
  </si>
  <si>
    <t>AS80-SEC388-ITS-IFP-0808</t>
  </si>
  <si>
    <t>ITS-FP--07</t>
  </si>
  <si>
    <t>FEC- 17 &amp; 18</t>
  </si>
  <si>
    <t>Gnd Gland missing, Cabinet not in Lavel, Cabniet Key reuired</t>
  </si>
  <si>
    <t>AS80-SEC388-ITS-IFP-0810</t>
  </si>
  <si>
    <t>F19 FEC 17,18</t>
  </si>
  <si>
    <t>AS80-SEC388-ITS-IFP-0812</t>
  </si>
  <si>
    <t>FEC-20 &amp; 19</t>
  </si>
  <si>
    <t>Gnd Gland missing, Spare CB16 Amp 16 nos, Cabniet Key reuired</t>
  </si>
  <si>
    <t>AS80-SEC388-ITS-IFP-0814</t>
  </si>
  <si>
    <t>FEC-21 &amp; 22 &amp; 23</t>
  </si>
  <si>
    <t>Gnd Gland missing, Spare CB 16 Amp 15 nos, Cabniet Key reuired, 1 Phase missing(Blue)</t>
  </si>
  <si>
    <t>AS80-SEC388-ITS-IFP-0816</t>
  </si>
  <si>
    <t>FEC-28 &amp; 29</t>
  </si>
  <si>
    <t>AS72-SEC388-ITS-IFP-0820</t>
  </si>
  <si>
    <t>ITS- FP- 25</t>
  </si>
  <si>
    <t>FEC-60</t>
  </si>
  <si>
    <t>FEC-60 CONNECTED TO ITS-FP-25</t>
  </si>
  <si>
    <t>AS72-SEC383-ITS-IFP-0847</t>
  </si>
  <si>
    <t>P19/ITS-FP-25</t>
  </si>
  <si>
    <t>ENC-60 &amp; 61</t>
  </si>
  <si>
    <t>Spare 16 Amp 16 nos, GND gland missing</t>
  </si>
  <si>
    <t>AS72-SEC383-ITS-IFP-0848</t>
  </si>
  <si>
    <t>P19/ITS-FP-23</t>
  </si>
  <si>
    <t>ENC-56 &amp; 57</t>
  </si>
  <si>
    <t>AS72-SEC383-ITS-IFP-0844</t>
  </si>
  <si>
    <t>P19/ITS-FP-24</t>
  </si>
  <si>
    <t>ENC-59 &amp;58</t>
  </si>
  <si>
    <t>AS72-SEC383-ITS-IFP-0845</t>
  </si>
  <si>
    <t>ITS- IFP-24</t>
  </si>
  <si>
    <t>ENC 58/59</t>
  </si>
  <si>
    <t>ENC-58/59 conneceted to ITS-FP-24</t>
  </si>
  <si>
    <t>AS72-SEC383-ITS-IFP-0846</t>
  </si>
  <si>
    <t>19 DGME 01</t>
  </si>
  <si>
    <t>ZA69-EXP0235-ITS-IFP-00015</t>
  </si>
  <si>
    <t>AKE-P01-ITS-FP16</t>
  </si>
  <si>
    <t>19GME-01</t>
  </si>
  <si>
    <t>ZA70-EXP0235-ITS-IFP-00016</t>
  </si>
  <si>
    <t>32 GE 01</t>
  </si>
  <si>
    <t>ZA69-EXP0235-ITS-IFP-00017</t>
  </si>
  <si>
    <t>ITS- IFP-00018</t>
  </si>
  <si>
    <t>32DGME-01</t>
  </si>
  <si>
    <t>32DGME-01 conneceted to ITS-FP00018</t>
  </si>
  <si>
    <t>ZA70-EXP0235-ITS-IFP-00018</t>
  </si>
  <si>
    <t>35 GME 01</t>
  </si>
  <si>
    <t>ZA69-EXP0235-ITS-IFP-00019</t>
  </si>
  <si>
    <t>08-DGME-01/02</t>
  </si>
  <si>
    <t>ZA70-EXP0235-ITS-IFP-00020</t>
  </si>
  <si>
    <t>AKE-P01-ITS-FP21</t>
  </si>
  <si>
    <t>35GME-01</t>
  </si>
  <si>
    <t>ZA70-EXP0235-ITS-IFP-00021</t>
  </si>
  <si>
    <t>AKE-P01-ITS-FP22</t>
  </si>
  <si>
    <t>37GME-01,36DGME-01</t>
  </si>
  <si>
    <t>ZA70-EXP0235-ITS-IFP-00022</t>
  </si>
  <si>
    <t>P01/ITS-FP-27</t>
  </si>
  <si>
    <t>39 GME 01, 40 GME 01</t>
  </si>
  <si>
    <t>Feeding two connections, 39 GME 01, 40 GME 01</t>
  </si>
  <si>
    <t>ZA69-EXP0235-ITS-IFP-00026</t>
  </si>
  <si>
    <t>ITS- IFP-00023</t>
  </si>
  <si>
    <t>ENC 01,02,03,04</t>
  </si>
  <si>
    <t>ENC-01.02/03/04 conneceted to ITS-FP00023</t>
  </si>
  <si>
    <t>ZA70-EXP0235-ITS-IFP-00023</t>
  </si>
  <si>
    <t>AKE-P01-ITS-FP23</t>
  </si>
  <si>
    <t>38GME-01/ 02/03/04</t>
  </si>
  <si>
    <t>ZA70-SEC1000-ITS-IFP-00024</t>
  </si>
  <si>
    <t>P01/ITS-FP-26</t>
  </si>
  <si>
    <t>50 DGM 1, 50GME 01</t>
  </si>
  <si>
    <t>ZA69-SEC0230-ITS-IFP-00025</t>
  </si>
  <si>
    <t>AKE-P01-ITS-FP28</t>
  </si>
  <si>
    <t>41DGME-01/ 42DGME-01</t>
  </si>
  <si>
    <t>ZA70-EXP0235-ITS-IFP-00027</t>
  </si>
  <si>
    <t>AKE-P02-ITS-FP01</t>
  </si>
  <si>
    <t>52GME-01</t>
  </si>
  <si>
    <t>ZA70-EXP0235-ITS-IFP-00028</t>
  </si>
  <si>
    <t>ITS- IFP-23</t>
  </si>
  <si>
    <t>ENC -56/57</t>
  </si>
  <si>
    <t>ENC-56/57 conneceted to ITS-FP-23</t>
  </si>
  <si>
    <t>AS72-SEC383-ITS-IFP-0843</t>
  </si>
  <si>
    <t>ITS- IFP-22</t>
  </si>
  <si>
    <t>ENC 54/55</t>
  </si>
  <si>
    <t>ENC-54/55 conneceted to ITS-FP22</t>
  </si>
  <si>
    <t>AS72-SEC383-ITS-IFP-0841</t>
  </si>
  <si>
    <t>P19/ITS-FP-22</t>
  </si>
  <si>
    <t>ENC-55 &amp; 54</t>
  </si>
  <si>
    <t>Spare 16Amp 16 nos, GND gland missing,</t>
  </si>
  <si>
    <t>AS72-SEC383-ITS-IFP-0842</t>
  </si>
  <si>
    <t>ITS- IFP-21</t>
  </si>
  <si>
    <t>ENC 52/53</t>
  </si>
  <si>
    <t>ENC-53/52 conneceted to ITS-FP21</t>
  </si>
  <si>
    <t>AS72-SEC383-ITS-IFP-0839</t>
  </si>
  <si>
    <t>P19/ITS-FP-21</t>
  </si>
  <si>
    <t>ENC-52 &amp; 53</t>
  </si>
  <si>
    <t>Spare 16Amp 16 nos, GND gland missing</t>
  </si>
  <si>
    <t>AS72-SEC383-ITS-IFP-0840</t>
  </si>
  <si>
    <t>ITS- IFP-20</t>
  </si>
  <si>
    <t>ENC 48/49/50/51</t>
  </si>
  <si>
    <t>ENC--48/49/50/51 conneceted to ITS-FP20</t>
  </si>
  <si>
    <t>AS72-SEC383-ITS-IFP-0837</t>
  </si>
  <si>
    <t>P19/ITS-FP-20</t>
  </si>
  <si>
    <t>ENC-48 &amp; 49 &amp; 50 &amp; 51</t>
  </si>
  <si>
    <t>Spare 16Amp 14 nos, GND gland missing</t>
  </si>
  <si>
    <t>AS72-SEC383-ITS-IFP-0838</t>
  </si>
  <si>
    <t>ENC-47/46</t>
  </si>
  <si>
    <t>ENC-47/46 CONNECTED TO ITS-FP-19</t>
  </si>
  <si>
    <t>AS72-SEC383-ITS-IFP-0835</t>
  </si>
  <si>
    <t>P19/ITS-FP-19</t>
  </si>
  <si>
    <t>ENC-46 &amp; 47</t>
  </si>
  <si>
    <t>Gnd gland missing, Cabinet door damange, Light missing, Kaharama door damage</t>
  </si>
  <si>
    <t>63 Amp`</t>
  </si>
  <si>
    <t>AS72-SEC383-ITS-IFP-0836</t>
  </si>
  <si>
    <t>ENC-44/45</t>
  </si>
  <si>
    <t>ENC-44/45 CONNECTED TOC ITS-FP-18</t>
  </si>
  <si>
    <t>AS72-SEC383-ITS-IFP-0833</t>
  </si>
  <si>
    <t>P02/ITS-FP-02</t>
  </si>
  <si>
    <t>54 DGME 1, 53GME 02, 53 PME 1, 67 PME 01 53 GME 1</t>
  </si>
  <si>
    <t>Feeding Five connections, 54 DGME 1, 53GME 02, 53 PME 1, 67 PME 01, 53 GME 1</t>
  </si>
  <si>
    <t>ZA69-EXP0235-ITS-IFP-00029</t>
  </si>
  <si>
    <t>AKE-P01-ITS-FP18</t>
  </si>
  <si>
    <t>ZA70-EXP1390-ITS-IFP-00030</t>
  </si>
  <si>
    <t>P02/ITS-FP-05</t>
  </si>
  <si>
    <t>57GME-01,56GME-01,56DGME-01,57WME-01</t>
  </si>
  <si>
    <t>Feeding two connections, 56 DGME 1,57WME 1,56 GME 01,57 GME 01</t>
  </si>
  <si>
    <t>ZA69-EXP0235-ITS-IFP-00031</t>
  </si>
  <si>
    <t>P02-ITS-FP06</t>
  </si>
  <si>
    <t>73 DGME-01 &amp; 02,</t>
  </si>
  <si>
    <t>ZA69-EXP0050-ITS-IFP-00032</t>
  </si>
  <si>
    <t>P02-ITS-FP-08</t>
  </si>
  <si>
    <t>58 PME-01</t>
  </si>
  <si>
    <t>ZA70-EXP0235-ITS-IFP-00033</t>
  </si>
  <si>
    <t>P02-ITS-FP09</t>
  </si>
  <si>
    <t>58GME-01 &amp;58GME-02</t>
  </si>
  <si>
    <t>ZA69-EXP0235-ITS-IFP-00034</t>
  </si>
  <si>
    <t>P02-ITS-FP-11</t>
  </si>
  <si>
    <t>61 DGME-01</t>
  </si>
  <si>
    <t>ZA70-EXP0235-ITS-IFP-00035</t>
  </si>
  <si>
    <t>P02-ITS-FP13</t>
  </si>
  <si>
    <t>64PME-01&amp;64GME-01</t>
  </si>
  <si>
    <t>ZA70-EXP0235-ITS-IFP-00036</t>
  </si>
  <si>
    <t>FEC- 40 &amp; 41</t>
  </si>
  <si>
    <t>Gnd Gland missing, CB 16A Spare 16 nos, Cabniet Key required</t>
  </si>
  <si>
    <t>AS72-SEC383-ITS-IFP-0829</t>
  </si>
  <si>
    <t>FEC- 44 &amp; 45</t>
  </si>
  <si>
    <t>Gnd Gland missing, CB 16A Spare 16 nos, Cabniet Key required, Glnad entry plate not properly fix</t>
  </si>
  <si>
    <t>AS72-SEC383-ITS-IFP-0834</t>
  </si>
  <si>
    <t>FEC- 42 &amp; 43</t>
  </si>
  <si>
    <t>AS72-SEC383-ITS-IFP-0831</t>
  </si>
  <si>
    <t>ITS- IFP-17</t>
  </si>
  <si>
    <t>ENC -42/43</t>
  </si>
  <si>
    <t>ENC--42/43 conneceted to ITS-FP17</t>
  </si>
  <si>
    <t>AS72-SEC383-ITS-IFP-0832</t>
  </si>
  <si>
    <t>ITS- IFP-16</t>
  </si>
  <si>
    <t>ENC 40/41</t>
  </si>
  <si>
    <t>ENC-40/41 conneceted to ITS-FP16</t>
  </si>
  <si>
    <t>AS72-SEC383-ITS-IFP-0830</t>
  </si>
  <si>
    <t>FEC- 38 &amp; 39</t>
  </si>
  <si>
    <t>AS72-SEC383-ITS-IFP-0827</t>
  </si>
  <si>
    <t>ITS- IFP-15</t>
  </si>
  <si>
    <t>ENC- 38/39</t>
  </si>
  <si>
    <t>ENC-38/39 conneceted to ITS-FP15</t>
  </si>
  <si>
    <t>AS72-SEC383-ITS-IFP-0828</t>
  </si>
  <si>
    <t>FEC- 36 &amp; 37</t>
  </si>
  <si>
    <t>AS72-SEC383-ITS-IFP-0825</t>
  </si>
  <si>
    <t>ITS- IFP-14</t>
  </si>
  <si>
    <t>ENC -36/37</t>
  </si>
  <si>
    <t>ENC-36/37 conneceted to ITS-FP14</t>
  </si>
  <si>
    <t>AS72-SEC383-ITS-IFP-0826</t>
  </si>
  <si>
    <t>FEC-69/35/32/70/34/33</t>
  </si>
  <si>
    <t>Gnd Gland missing, CB 16A Spare 12 nos, Cabniet Key reuired</t>
  </si>
  <si>
    <t>AS72-SEC383-ITS-IFP-0824</t>
  </si>
  <si>
    <t>P19/ITS-FP-26</t>
  </si>
  <si>
    <t>ENC-62 &amp; 63 &amp; 64</t>
  </si>
  <si>
    <t>Gnd Gland missing, Kahrama door damage</t>
  </si>
  <si>
    <t>AS73-SEC383-ITS-IFP-0849</t>
  </si>
  <si>
    <t>ITS- IFP-26</t>
  </si>
  <si>
    <t>ENC -62/64/63</t>
  </si>
  <si>
    <t>ENC--62/63/64 conneceted to ITS-FP26</t>
  </si>
  <si>
    <t>AS73-SEC383-ITS-IFP-0850</t>
  </si>
  <si>
    <t>ITS- IFP-27</t>
  </si>
  <si>
    <t>ENC -65/67</t>
  </si>
  <si>
    <t>ENC-65/67 conneceted to ITS-FP27</t>
  </si>
  <si>
    <t>AS73-SEC383-ITS-IFP-0851</t>
  </si>
  <si>
    <t>WA91-TER299-ITS-IFP-0865</t>
  </si>
  <si>
    <t>WA91-JCN9131-ITS-IFP-0868</t>
  </si>
  <si>
    <t>250A</t>
  </si>
  <si>
    <t>GE FD250</t>
  </si>
  <si>
    <t>WA91-JCN9132-ITS-IFP-0867</t>
  </si>
  <si>
    <t>ENC-02</t>
  </si>
  <si>
    <t>WA91-JCN9147-ITS-IFP-0872</t>
  </si>
  <si>
    <t>ITS-FP-5</t>
  </si>
  <si>
    <t>32A Breakers are free and No cables connected, MCB main connected to KM</t>
  </si>
  <si>
    <t>WA91-JCN9133-ITS-IFP-0864</t>
  </si>
  <si>
    <t>WA91-TER299-ITS-IFP-0863</t>
  </si>
  <si>
    <t>ITS-FP-9</t>
  </si>
  <si>
    <t>WA91-JCN9134-ITS-IFP-0874</t>
  </si>
  <si>
    <t>63A Breakers are free and No cables connected, MCB main connected to KM</t>
  </si>
  <si>
    <t>ABB</t>
  </si>
  <si>
    <t>WA91-JCN9135-ITS-IFP-0876</t>
  </si>
  <si>
    <t>WA91-JCN9136-ITS-IFP-0861</t>
  </si>
  <si>
    <t>All Breakers are 32A and no cables connected, only Main MCB power connected to KM meter.</t>
  </si>
  <si>
    <t>WA91-JCN9137-ITS-IFP-0860</t>
  </si>
  <si>
    <t>WA91-JCN9138-ITS-IFP-0859</t>
  </si>
  <si>
    <t>32A Breakers are free and No cables connected, MCB main connected to KM
 Cabinet door is damaged.</t>
  </si>
  <si>
    <t>WA91-TER299-ITS-IFP-0858</t>
  </si>
  <si>
    <t>9139 Cabinet is connected to FP-15 cabinet</t>
  </si>
  <si>
    <t>WA91-JCN9139-ITS-IFP-0857</t>
  </si>
  <si>
    <t>ENC 10&amp;11&amp;11A</t>
  </si>
  <si>
    <t>RA56-PRM330-ITS-IFP-0855</t>
  </si>
  <si>
    <t>P19/ITS-FP-27</t>
  </si>
  <si>
    <t>ENC-65 &amp; 66</t>
  </si>
  <si>
    <t>GND gland missing, Kahrama door damage</t>
  </si>
  <si>
    <t>AS73-SEC383-ITS-IFP-0852</t>
  </si>
  <si>
    <t>P19/ITS-FP-28</t>
  </si>
  <si>
    <t>ENC-68 &amp; 67</t>
  </si>
  <si>
    <t>AS73-TER383-ITS-IFP-0853</t>
  </si>
  <si>
    <t>ITS- IFP-28</t>
  </si>
  <si>
    <t>ENC -67/68</t>
  </si>
  <si>
    <t>ENC-67/68 conneceted to ITS-FP28</t>
  </si>
  <si>
    <t>AS73-TER383-ITS-IFP-0854</t>
  </si>
  <si>
    <t>ITS- FP- 17</t>
  </si>
  <si>
    <t>NO CABLES COMECTED TO ITS -17</t>
  </si>
  <si>
    <t>WA90-JCN9005-ITS-IFP-0871</t>
  </si>
  <si>
    <t>WA90-TER299-ITS-IFP-0856</t>
  </si>
  <si>
    <t>All Cables dismantle and it is not working.</t>
  </si>
  <si>
    <t>WA90-SEC201-ITS-IFP-0877</t>
  </si>
  <si>
    <t>WA90-JCN9006-ITS-IFP-0870</t>
  </si>
  <si>
    <t>WA90-JCN9007-ITS-IFP-0869</t>
  </si>
  <si>
    <t>ITS-FP-8</t>
  </si>
  <si>
    <t>Cabinet Damaged by Accident vehicle.</t>
  </si>
  <si>
    <t>WA91-SEC201-ITS-IFP-0873</t>
  </si>
  <si>
    <t>WA91-SEC201-ITS-IFP-0875</t>
  </si>
  <si>
    <t>ITS-FP-17-1</t>
  </si>
  <si>
    <t>ENC-208,207</t>
  </si>
  <si>
    <t>Yussif</t>
  </si>
  <si>
    <t>FP 17-1</t>
  </si>
  <si>
    <t>ITS-FP-15-1</t>
  </si>
  <si>
    <t>ENC-206,203</t>
  </si>
  <si>
    <t>FP 15-1</t>
  </si>
  <si>
    <t>ITS-FP-16-1</t>
  </si>
  <si>
    <t>ENC-205,215 &amp;218</t>
  </si>
  <si>
    <t>FP 16-1</t>
  </si>
  <si>
    <t>ITS-FP-1-1</t>
  </si>
  <si>
    <t>ITS-CAB-01/02/CAB-401</t>
  </si>
  <si>
    <t>FP 1-1</t>
  </si>
  <si>
    <t>ITS-FP-2-1</t>
  </si>
  <si>
    <t>ITS-UPS-CAB-03/04/UPS-CAB25/26</t>
  </si>
  <si>
    <t>FP 2-1</t>
  </si>
  <si>
    <t>ITS-FP-3-1</t>
  </si>
  <si>
    <t>ITS-UPS-CAB-03/04 ITS-CAB25/26/05/06/07</t>
  </si>
  <si>
    <t>FP 3-1</t>
  </si>
  <si>
    <t>ITS-FP-8-1</t>
  </si>
  <si>
    <t>RTS -017, UPS-018,UPS-038, MOI 1&amp; 2, ENC-019 &amp;020,UPS-414 &amp;028</t>
  </si>
  <si>
    <t>FP 8-1</t>
  </si>
  <si>
    <t>ITS-FP-4-1</t>
  </si>
  <si>
    <t>ENC-030,022,039, UPS-009,008 &amp;413</t>
  </si>
  <si>
    <t>FP 4-1</t>
  </si>
  <si>
    <t>ITS-UPS-CAB-08/09 ITS-CAB27/31/37/38/40/411/412</t>
  </si>
  <si>
    <t>FP 5-1</t>
  </si>
  <si>
    <t>ITS-FP-7-1</t>
  </si>
  <si>
    <t>IST-012,ENC-036,028,014,035,IST-015,IST-017,IST-018,ENC-013,IST-016</t>
  </si>
  <si>
    <t>FP 7-1</t>
  </si>
  <si>
    <t>ITS-FP-10-1</t>
  </si>
  <si>
    <t>ENC-102,120</t>
  </si>
  <si>
    <t>FP 10-1</t>
  </si>
  <si>
    <t>ITS- FP- 18</t>
  </si>
  <si>
    <t>UPS /ITS -CAB</t>
  </si>
  <si>
    <t>UPS/ITS-CAB conneceted to ITS-FP18</t>
  </si>
  <si>
    <t>FP 18-1</t>
  </si>
  <si>
    <t>ENC-06</t>
  </si>
  <si>
    <t>schnider</t>
  </si>
  <si>
    <t>FP 19-1</t>
  </si>
  <si>
    <t>ENC 06</t>
  </si>
  <si>
    <t>ENC-06 conneceted to ITS-FP0004</t>
  </si>
  <si>
    <t>ENC-04/04/04/PME/08/08/08</t>
  </si>
  <si>
    <t>ENC-04/08 CONNECTED TO ITS-FP-05</t>
  </si>
  <si>
    <t>ITS-FP-02(ITS)</t>
  </si>
  <si>
    <t>ENC-03,04 &amp; 13</t>
  </si>
  <si>
    <t>1370485/138915</t>
  </si>
  <si>
    <t>Two main power source and ATS on site</t>
  </si>
  <si>
    <t>100A/100A</t>
  </si>
  <si>
    <t>FP-06 (ITS)</t>
  </si>
  <si>
    <t>ENC-12,09 &amp;10</t>
  </si>
  <si>
    <t>1389716/1370491</t>
  </si>
  <si>
    <t>Two main power source</t>
  </si>
  <si>
    <t>ITS-FP-01(ITS0</t>
  </si>
  <si>
    <t>ENC-01,14,&amp;02</t>
  </si>
  <si>
    <t>1389766/1370498</t>
  </si>
  <si>
    <t>Two main power sources and ATS on site.</t>
  </si>
  <si>
    <t>100a/100a</t>
  </si>
  <si>
    <t>ITS-FP-16A</t>
  </si>
  <si>
    <t>ENC 50,52</t>
  </si>
  <si>
    <t>FP-16A</t>
  </si>
  <si>
    <t>ITS-FP-07(ITS)</t>
  </si>
  <si>
    <t>ENC-11</t>
  </si>
  <si>
    <t>1370499/1389767</t>
  </si>
  <si>
    <t>P12/ITS-FP-15A</t>
  </si>
  <si>
    <t>ENC-73</t>
  </si>
  <si>
    <t>FP-15A</t>
  </si>
  <si>
    <t>P12/ITS-FP-29</t>
  </si>
  <si>
    <t>ENC-75</t>
  </si>
  <si>
    <t>ITS-FP door &amp; door hinges was damaged</t>
  </si>
  <si>
    <t>FP-25</t>
  </si>
  <si>
    <t>ENC 89</t>
  </si>
  <si>
    <t>The feeder door was damaged 
 The feeder inside the Cable Trunkings box cover is missing</t>
  </si>
  <si>
    <t>FP-39</t>
  </si>
  <si>
    <t>ITS--FP-35</t>
  </si>
  <si>
    <t>The feeder cabin door was damaged</t>
  </si>
  <si>
    <t>FP-35</t>
  </si>
  <si>
    <t>P12/ITS-FP-23</t>
  </si>
  <si>
    <t>ENC-67</t>
  </si>
  <si>
    <t>FP-33</t>
  </si>
  <si>
    <t>P12/ITS-FP-25</t>
  </si>
  <si>
    <t>ENC-69</t>
  </si>
  <si>
    <t>FP-31</t>
  </si>
  <si>
    <t>ITS-FP-14A</t>
  </si>
  <si>
    <t>ENC 48,71</t>
  </si>
  <si>
    <t>FP-14A</t>
  </si>
  <si>
    <t>ENC 56,60</t>
  </si>
  <si>
    <t>FP-12</t>
  </si>
  <si>
    <t>FP-29</t>
  </si>
  <si>
    <t>ITS-FP-17B</t>
  </si>
  <si>
    <t>ENC 103 &amp; 105 &amp; 107 &amp; 95</t>
  </si>
  <si>
    <t>Spare 16AMp 10nos, 32AMp 2nos, ATS on site</t>
  </si>
  <si>
    <t>FP-17B</t>
  </si>
  <si>
    <t>ENC 91</t>
  </si>
  <si>
    <t>FP-41</t>
  </si>
  <si>
    <t>ITS-FP-24-A</t>
  </si>
  <si>
    <t>ENC 68</t>
  </si>
  <si>
    <t>FP-24A</t>
  </si>
  <si>
    <t>ITS-FP-32-2</t>
  </si>
  <si>
    <t>FP-14</t>
  </si>
  <si>
    <t>ITS-FP-45</t>
  </si>
  <si>
    <t>ENC 99 &amp; 101</t>
  </si>
  <si>
    <t>Spare 16Amp 4nos,25Amp 1nos, Gland hole need close</t>
  </si>
  <si>
    <t>FP-45</t>
  </si>
  <si>
    <t>ENC 74 &amp; 82</t>
  </si>
  <si>
    <t>1234323/1234325</t>
  </si>
  <si>
    <t>Spare 16Amp 12nos, 20AMp 3nos</t>
  </si>
  <si>
    <t>FP-18</t>
  </si>
  <si>
    <t>P12/ITS-FP-26A</t>
  </si>
  <si>
    <t>ENC 80 / ENC78</t>
  </si>
  <si>
    <t>1288866/1290122</t>
  </si>
  <si>
    <t>Two KM Meter connected with cabinet / Two MCCB 100A Availble
 Cabinet Door Damage</t>
  </si>
  <si>
    <t>100A /2NOS/Record plus</t>
  </si>
  <si>
    <t>FP-26A</t>
  </si>
  <si>
    <t>P12/ITS-FP-31</t>
  </si>
  <si>
    <t>ENC-54</t>
  </si>
  <si>
    <t>ITS-FP door &amp; door hinges was damaged &amp; fp base was rusty</t>
  </si>
  <si>
    <t>FP-23</t>
  </si>
  <si>
    <t>ITS-FP-20A</t>
  </si>
  <si>
    <t>ENC 62,64</t>
  </si>
  <si>
    <t>FP-20A</t>
  </si>
  <si>
    <t>ENC 83,85,87</t>
  </si>
  <si>
    <t>The feeder cabin door was damaged 
 The main input cable from Kahramaa in this feeder has a damaged red live wire</t>
  </si>
  <si>
    <t>FP-37</t>
  </si>
  <si>
    <t>ITS-FP-22A</t>
  </si>
  <si>
    <t>ENC 66</t>
  </si>
  <si>
    <t>FP-22A</t>
  </si>
  <si>
    <t>ENC 70,93</t>
  </si>
  <si>
    <t>FP-43</t>
  </si>
  <si>
    <t>ITS- IFP-06002</t>
  </si>
  <si>
    <t>ENC-63</t>
  </si>
  <si>
    <t>ENC-62 conneceted to ITS-FP06002</t>
  </si>
  <si>
    <t>FP-13A</t>
  </si>
  <si>
    <t>ENC 42</t>
  </si>
  <si>
    <t>FP-10</t>
  </si>
  <si>
    <t>ENC-03</t>
  </si>
  <si>
    <t>DA57-PRM0100-ITS-IFP-00201</t>
  </si>
  <si>
    <t>P06/ITS-IFP-03</t>
  </si>
  <si>
    <t>ENC 04,05</t>
  </si>
  <si>
    <t>RA56-PRM0100-ITS-IFP-00401</t>
  </si>
  <si>
    <t>P06-ITS-FP-10</t>
  </si>
  <si>
    <t>ENC 13,14,15</t>
  </si>
  <si>
    <t>RA56-PRM0100-ITS-IFP-00601</t>
  </si>
  <si>
    <t>ENC 06,07</t>
  </si>
  <si>
    <t>DA57-PRM0100-ITS-IFP-01001</t>
  </si>
  <si>
    <t>P06/ITS-FB-06</t>
  </si>
  <si>
    <t>DA57-PRM0100-ITS-IFP-01201</t>
  </si>
  <si>
    <t>ITS-FP- 07</t>
  </si>
  <si>
    <t>DA57-PRM0100-ITS-IFP-01401</t>
  </si>
  <si>
    <t>ITS-FP-09A</t>
  </si>
  <si>
    <t>ENC 11,12,12A</t>
  </si>
  <si>
    <t>DA57-TER0023-ITS-IFP-01501</t>
  </si>
  <si>
    <t>P06-FP-ITS</t>
  </si>
  <si>
    <t>DA57-TER0023-ITS-IFP-01801</t>
  </si>
  <si>
    <t>P06/FP-ITS-10</t>
  </si>
  <si>
    <t>This feeder is not connected to Kharama 
 Power comming from Some where.
 ATS Available</t>
  </si>
  <si>
    <t>RA56-PRM0100-ITS-IFP-01802</t>
  </si>
  <si>
    <t>ITS-FP</t>
  </si>
  <si>
    <t>ENC 07 ,16</t>
  </si>
  <si>
    <t>DA57-PRM0100-ITS-IFP-02101</t>
  </si>
  <si>
    <t>DA28-EXP0210-ITS-IFP-00001</t>
  </si>
  <si>
    <t>ITS-IFP-02</t>
  </si>
  <si>
    <t>DA28-EXP0210-ITS-IFP-00002</t>
  </si>
  <si>
    <t>MCB power is connected from Ex-FP-01/ ITS-FP-14 Cabinet</t>
  </si>
  <si>
    <t>DA48-EXP0210-ITS-IFP-00004</t>
  </si>
  <si>
    <t>400A</t>
  </si>
  <si>
    <t>DA48-EXP0210-ITS-IFP-00016</t>
  </si>
  <si>
    <t>MCB power is connected from Ex-FP-02/ ITS-FP-15 Cabinet</t>
  </si>
  <si>
    <t>DA48-EXP0210-ITS-IFP-00005</t>
  </si>
  <si>
    <t>DA48-EXP0210-ITS-IFP-00022</t>
  </si>
  <si>
    <t>MCB power is connected from MU-1 cabinet</t>
  </si>
  <si>
    <t>DA49-EXP0210-ITS-IFP-00006</t>
  </si>
  <si>
    <t>MCB power is connected from Ex-FP-03/ ITS-IFP-16 Cabinet</t>
  </si>
  <si>
    <t>DA48-EXP0210-ITS-IFP-00007</t>
  </si>
  <si>
    <t>MCB power is connected from Ex-FP-04/ ITS-FP-17 Cabinet</t>
  </si>
  <si>
    <t>DA48-EXP0210-ITS-IFP-00008</t>
  </si>
  <si>
    <t>DA48-EXP0210-ITS-IFP-00018</t>
  </si>
  <si>
    <t>MCB power is connected from Ex-FP-05/ ITS-FP-18 Cabinet</t>
  </si>
  <si>
    <t>DA48-EXP0210-ITS-IFP-00011</t>
  </si>
  <si>
    <t>ITS-IFP-13</t>
  </si>
  <si>
    <t>DA48-EXP0270-ITS-IFP-00013</t>
  </si>
  <si>
    <t>ITS-IFP-20</t>
  </si>
  <si>
    <t>ENC-25</t>
  </si>
  <si>
    <t>DA49-EXP2000-ITS-IFP-00020</t>
  </si>
  <si>
    <t>DA48-EXP0210-ITS-IFP-00014</t>
  </si>
  <si>
    <t>DA48-EXP0210-ITS-IFP-00015</t>
  </si>
  <si>
    <t>MCB power is connected from Ex-FP-03/ ITS-FP-16 Cabinet</t>
  </si>
  <si>
    <t>GRA</t>
  </si>
  <si>
    <t>DA48-EXP0210-ITS-IFP-00017</t>
  </si>
  <si>
    <t>ITS-EX-FP-05</t>
  </si>
  <si>
    <t>ENC-13 &amp; 20</t>
  </si>
  <si>
    <t>ENC -13&amp; ENC-20 power is connected to FP-19 cabinet</t>
  </si>
  <si>
    <t>450A</t>
  </si>
  <si>
    <t>32A</t>
  </si>
  <si>
    <t>DA48-EXP0270-ITS-IFP-00019</t>
  </si>
  <si>
    <t>ENC 03</t>
  </si>
  <si>
    <t>Schenider</t>
  </si>
  <si>
    <t>ZA70-EXP1390-ITS-IFP-00001</t>
  </si>
  <si>
    <t>ENC02</t>
  </si>
  <si>
    <t>ZA70-EXP1390-ITS-IFP-00002</t>
  </si>
  <si>
    <t>ITS- FP-00003</t>
  </si>
  <si>
    <t>ZA70-EXP1390-ITS-IFP-00003</t>
  </si>
  <si>
    <t>ITS-01</t>
  </si>
  <si>
    <t>ZA70-EXP1390-ITS-IFP-00004</t>
  </si>
  <si>
    <t>TRAFFIC SIGINAL</t>
  </si>
  <si>
    <t>ENC 5505</t>
  </si>
  <si>
    <t>ZA70-EXP1390-ITS-IFP-00005</t>
  </si>
  <si>
    <t>ENC06</t>
  </si>
  <si>
    <t>US71-EXP0800-ITS-IFP-00006</t>
  </si>
  <si>
    <t>ITS-IFP-07</t>
  </si>
  <si>
    <t>ENC-07</t>
  </si>
  <si>
    <t>US71-EXP0800-ITS-IFP-00007</t>
  </si>
  <si>
    <t>TRAFFIC SIGNAL</t>
  </si>
  <si>
    <t>ENC 5502</t>
  </si>
  <si>
    <t>US71-EXP0800-ITS-IFP-00008</t>
  </si>
  <si>
    <t>ENC09/ENC10</t>
  </si>
  <si>
    <t>US71-EXP0800-ITS-IFP-00009</t>
  </si>
  <si>
    <t>ENC 53</t>
  </si>
  <si>
    <t>ZA70-EXP1390-ITS-IFP-00043</t>
  </si>
  <si>
    <t>ENC11/ENC12</t>
  </si>
  <si>
    <t>US71-EXP0800-ITS-IFP-00010</t>
  </si>
  <si>
    <t>ITF-FP-11</t>
  </si>
  <si>
    <t>ENC-13/ENC-14/ENC54</t>
  </si>
  <si>
    <t>US71-EXP0800-ITS-IFP-00011</t>
  </si>
  <si>
    <t>ENC-55 ENC-15 ENC-16</t>
  </si>
  <si>
    <t>ENC-55/15/16 CONNECTED TO ITS-IFP00012</t>
  </si>
  <si>
    <t>US71-EXP0800-ITS-IFP-00012</t>
  </si>
  <si>
    <t>ENC17</t>
  </si>
  <si>
    <t>US71-EXP0800-ITS-IFP-00013</t>
  </si>
  <si>
    <t>ENC18 &amp; 19</t>
  </si>
  <si>
    <t>Spare CB 32Amp 4nos,</t>
  </si>
  <si>
    <t>US71-EXP0800-ITS-IFP-00014</t>
  </si>
  <si>
    <t>ENC-20 CONNECTED TO ITS-IFP00015</t>
  </si>
  <si>
    <t>US71-EXP0800-ITS-IFP-00015</t>
  </si>
  <si>
    <t>ENC 21</t>
  </si>
  <si>
    <t>Spare CB 32Amp 5nos,</t>
  </si>
  <si>
    <t>US71-EXP0800-ITS-IFP-00016</t>
  </si>
  <si>
    <t>ENC-22</t>
  </si>
  <si>
    <t>ENC-22 CONNECTED TO ITS-IFP00017</t>
  </si>
  <si>
    <t>RA51-EXP1800-ITS-IFP-00017</t>
  </si>
  <si>
    <t>P04/ITS-FP-18</t>
  </si>
  <si>
    <t>ENC 23 &amp; 24`</t>
  </si>
  <si>
    <t>RA51-EXP1800-ITS-IFP-00018</t>
  </si>
  <si>
    <t>ENC-22 CONNECTED TO ITS-IFP00019</t>
  </si>
  <si>
    <t>RA51-EXP1800-ITS-IFP-00019</t>
  </si>
  <si>
    <t>MTS was damage</t>
  </si>
  <si>
    <t>RA51-EXP1800-ITS-IFP-00020</t>
  </si>
  <si>
    <t>ENC-27</t>
  </si>
  <si>
    <t>ENC-20 CONNECTED TO ITS-IFP00021</t>
  </si>
  <si>
    <t>RA51-EXP1800-ITS-IFP-00021</t>
  </si>
  <si>
    <t>ENC 28</t>
  </si>
  <si>
    <t>RA51-EXP1800-ITS-IFP-00022</t>
  </si>
  <si>
    <t>ENC-01 conneceted to ITS-FP00023</t>
  </si>
  <si>
    <t>RA51-EXP1800-ITS-IFP-00023</t>
  </si>
  <si>
    <t>ENC 30</t>
  </si>
  <si>
    <t>RA51-EXP1800-ITS-IFP-00024</t>
  </si>
  <si>
    <t>ENC32/ ENC35</t>
  </si>
  <si>
    <t>RA51-SEC1696-ITS-IFP-00025</t>
  </si>
  <si>
    <t>ENC33/ENC34/ENC56/ENC57</t>
  </si>
  <si>
    <t>RA51-EXP1800-ITS-IFP-00026</t>
  </si>
  <si>
    <t>ITS-IFP-00027</t>
  </si>
  <si>
    <t>ENC-59 ENC-35</t>
  </si>
  <si>
    <t>ENC-59/35 CONNECTED TO ITS-IFP00027</t>
  </si>
  <si>
    <t>RA51-EXP1850-ITS-IFP-00027</t>
  </si>
  <si>
    <t>ENC 36,60</t>
  </si>
  <si>
    <t>RA53-EXP1800-ITS-IFP-00028</t>
  </si>
  <si>
    <t>ITS-FP-29</t>
  </si>
  <si>
    <t>ENC 37,58</t>
  </si>
  <si>
    <t>RA53-EXP0800-ITS-IFP-00029</t>
  </si>
  <si>
    <t>ENC 38</t>
  </si>
  <si>
    <t>RA53-EXP0800-ITS-IFP-00030</t>
  </si>
  <si>
    <t>RA53-EXP1800-ITS-IFP-00031</t>
  </si>
  <si>
    <t>RA53-EXP0800-ITS-IFP-00032</t>
  </si>
  <si>
    <t>ENC 41,61</t>
  </si>
  <si>
    <t>RA53-EXP1800-ITS-IFP-00033</t>
  </si>
  <si>
    <t>ENC-42</t>
  </si>
  <si>
    <t>RA53-EXP1800-ITS-IFP-00034</t>
  </si>
  <si>
    <t>ITS-FP-35</t>
  </si>
  <si>
    <t>ENC-43,62</t>
  </si>
  <si>
    <t>AS82-EXP1800-ITS-IFP-00035</t>
  </si>
  <si>
    <t>ITS-FP-36</t>
  </si>
  <si>
    <t>ENC-44</t>
  </si>
  <si>
    <t>AS82-EXP1800-ITS-IFP-00036</t>
  </si>
  <si>
    <t>AS82-EXP1800-ITS-IFP-00037</t>
  </si>
  <si>
    <t>ITS-FP-38</t>
  </si>
  <si>
    <t>ENC-46</t>
  </si>
  <si>
    <t>AS82-EXP1800-ITS-IFP-00038</t>
  </si>
  <si>
    <t>ENC-47</t>
  </si>
  <si>
    <t>AS82-EXP1800-ITS-IFP-00039</t>
  </si>
  <si>
    <t>ENC-48,49,50</t>
  </si>
  <si>
    <t>AS82-EXP1800-ITS-IFP-00040</t>
  </si>
  <si>
    <t>ENC-51</t>
  </si>
  <si>
    <t>AS82-EXP1800-ITS-IFP-00041</t>
  </si>
  <si>
    <t>ITS-FP-42</t>
  </si>
  <si>
    <t>AS82-EXP1800-ITS-IFP-00042</t>
  </si>
  <si>
    <t>ENC 01,05</t>
  </si>
  <si>
    <t>ATS available Feeding single supply. Only a single KM penel is available near</t>
  </si>
  <si>
    <t>DA43-EXP0281-ITS-IFP-00001</t>
  </si>
  <si>
    <t>ENC 02</t>
  </si>
  <si>
    <t>ATS available Feeding from KM</t>
  </si>
  <si>
    <t>DA43-EXP0281-ITS-IFP-00002</t>
  </si>
  <si>
    <t>ENC 09</t>
  </si>
  <si>
    <t>DA40-EXP0250-ITS-IFP-00001</t>
  </si>
  <si>
    <t>FIFA-01-ENC-04</t>
  </si>
  <si>
    <t>DA43-EXP0250-ITS-IFP-00001</t>
  </si>
  <si>
    <t>RA55-EXP0251-ITS-IFP-00001</t>
  </si>
  <si>
    <t>DA39-EXP0251-ITS-IFP-00001</t>
  </si>
  <si>
    <t>RA55-EXP0251-ITS-IFP-00002</t>
  </si>
  <si>
    <t>ENC-13 &amp; 26, MOI</t>
  </si>
  <si>
    <t>MOI connected to ITS-IFP-02 cabinet and KM still under contrustion</t>
  </si>
  <si>
    <t>DA39-EXP0251-ITS-IFP-00002</t>
  </si>
  <si>
    <t>ENC-10 &amp; MOI</t>
  </si>
  <si>
    <t>MOI connected to ITS-IFP-02 cabinet.</t>
  </si>
  <si>
    <t>RA54-EXP0251-ITS-IFP-00002</t>
  </si>
  <si>
    <t>ENC-17,15 &amp;12</t>
  </si>
  <si>
    <t>RA54-EXP0251-ITS-IFP-00001</t>
  </si>
  <si>
    <t>DA38-EXP0251-ITS-IFP-00001</t>
  </si>
  <si>
    <t>ENC-22 &amp; 27</t>
  </si>
  <si>
    <t>Main Gnd Misssing, CB 32A spare 22 nos,Cabniet Key reuired</t>
  </si>
  <si>
    <t>DA38-EXP0251-ITS-IFP-00002</t>
  </si>
  <si>
    <t>DA34-EXP0252-ITS-IFP-00002</t>
  </si>
  <si>
    <t>DA30-EXP0253-ITS-IFP-00001</t>
  </si>
  <si>
    <t>ENC-01A</t>
  </si>
  <si>
    <t>RA51-SEC0901-ITS-IFP-00001</t>
  </si>
  <si>
    <t>ENC-01 &amp; 02</t>
  </si>
  <si>
    <t>DA30-EXP0253-ITS-IFP-00002</t>
  </si>
  <si>
    <t>US71-EXP0253-ITS-IFP-00001</t>
  </si>
  <si>
    <t>ENC-07 &amp;ENC-08</t>
  </si>
  <si>
    <t>US71-EXP0253-ITS-IFP-00002</t>
  </si>
  <si>
    <t>ENC-09</t>
  </si>
  <si>
    <t>ZA70-EXP0253-ITS-IFP-00001</t>
  </si>
  <si>
    <t>ITS-IFP-03</t>
  </si>
  <si>
    <t>US71-EXP0253-ITS-IFP-00003</t>
  </si>
  <si>
    <t>US71-SEC0253-ITS-IFP-00001</t>
  </si>
  <si>
    <t>ZA70-EXP0253-ITS-IFP-00002</t>
  </si>
  <si>
    <t>ITS-IFP-04</t>
  </si>
  <si>
    <t>ENC-13</t>
  </si>
  <si>
    <t>US71-EXP0253-ITS-IFP-00004</t>
  </si>
  <si>
    <t>ITS-IFP-05</t>
  </si>
  <si>
    <t>US71-EXP0253-ITS-IFP-00005</t>
  </si>
  <si>
    <t>ENC-15</t>
  </si>
  <si>
    <t>ZA70-EXP0253-ITS-IFP-00003</t>
  </si>
  <si>
    <t>ITS-IFP-06</t>
  </si>
  <si>
    <t>ENC-16 &amp; 17</t>
  </si>
  <si>
    <t>US71-EXP0253-ITS-IFP-00006</t>
  </si>
  <si>
    <t>ENC-18 &amp;19</t>
  </si>
  <si>
    <t>ZA70-EXP0253-ITS-IFP-00004</t>
  </si>
  <si>
    <t>ENC-20,21 &amp;22</t>
  </si>
  <si>
    <t>ZA70-EXP0253-ITS-IFP-00005</t>
  </si>
  <si>
    <t>ITS-FP-00006</t>
  </si>
  <si>
    <t>ENC-24 ENC-23</t>
  </si>
  <si>
    <t>ZA70-EXP0253-ITS-IFP-00006</t>
  </si>
  <si>
    <t>ITS-IFP-08</t>
  </si>
  <si>
    <t>ENC-26</t>
  </si>
  <si>
    <t>US71-EXP0253-ITS-IFP-00008</t>
  </si>
  <si>
    <t>ENC- 27 &amp;28</t>
  </si>
  <si>
    <t>US71-SEC0253-ITS-IFP-00002</t>
  </si>
  <si>
    <t>ENC 29,30</t>
  </si>
  <si>
    <t>US71-EXP0253-ITS-IFP-00009</t>
  </si>
  <si>
    <t>ENC 31</t>
  </si>
  <si>
    <t>US71-SEC0253-ITS-IFP-00003</t>
  </si>
  <si>
    <t>ITS-FP-00007</t>
  </si>
  <si>
    <t>ENC-32 ENC-33</t>
  </si>
  <si>
    <t>ZA70-EXP0253-ITS-IFP-00007</t>
  </si>
  <si>
    <t>ITS-FP-00008</t>
  </si>
  <si>
    <t>ENC-34</t>
  </si>
  <si>
    <t>ZA70-EXP0253-ITS-IFP-00008</t>
  </si>
  <si>
    <t>US71-EXP0253-ITS-IFP-00010</t>
  </si>
  <si>
    <t>ENC-36/ENC38</t>
  </si>
  <si>
    <t>ZA70-EXP0253-ITS-IFP-00009</t>
  </si>
  <si>
    <t>ENC 39</t>
  </si>
  <si>
    <t>US71-EXP0253-ITS-IFP-00011</t>
  </si>
  <si>
    <t>ITS-FP-27</t>
  </si>
  <si>
    <t>ENC-40</t>
  </si>
  <si>
    <t>ZA70-EXP0253-ITS-IFP-00010</t>
  </si>
  <si>
    <t>ENC-41</t>
  </si>
  <si>
    <t>ZA70-EXP0253-ITS-IFP-00011</t>
  </si>
  <si>
    <t>ENC-42/43</t>
  </si>
  <si>
    <t>ZA70-SEC0253-ITS-IFP-00001</t>
  </si>
  <si>
    <t>ENC-44 &amp;45, MOI- RADAR</t>
  </si>
  <si>
    <t>KH74-EXP0253-ITS-IFP-00001</t>
  </si>
  <si>
    <t>KH74-EXP0253-ITS-IFP-00002</t>
  </si>
  <si>
    <t>KH74-EXP0253-ITS-IFP-00003</t>
  </si>
  <si>
    <t>ENC-49</t>
  </si>
  <si>
    <t>KH74-EXP0253-ITS-IFP-00004</t>
  </si>
  <si>
    <t>ENC-56</t>
  </si>
  <si>
    <t>ZA70-EXP0253-ITS-IFP-00013</t>
  </si>
  <si>
    <t>ZA70-EXP0253-ITS-IFP-00014</t>
  </si>
  <si>
    <t>KH74-PRM0212-ITS-IFP-00001</t>
  </si>
  <si>
    <t>ENC-53</t>
  </si>
  <si>
    <t>KH74-PRM0208-ITS-IFP-00001</t>
  </si>
  <si>
    <t>ENC-55</t>
  </si>
  <si>
    <t>KH74-PRM0212-ITS-IFP-00002</t>
  </si>
  <si>
    <t>KH74-EXP0253-ITS-IFP-00005</t>
  </si>
  <si>
    <t>KH74-EXP0253-ITS-IFP-00006</t>
  </si>
  <si>
    <t>DA34-SEC0252-ITS-IFP-00001</t>
  </si>
  <si>
    <t>US71-EXP0253-ITS-IFP-00007</t>
  </si>
  <si>
    <t>ENC -SLT-WAN-1/3/4</t>
  </si>
  <si>
    <t>ENC-SLT-WAN-1//3/4 conneceted to ITS-FP1A</t>
  </si>
  <si>
    <t>RA51-EXP0373-ITS-IFP-00101</t>
  </si>
  <si>
    <t>ENC-35,37,38,39,40,41</t>
  </si>
  <si>
    <t>Kharama panel nearby site not visible</t>
  </si>
  <si>
    <t>RA53-EXP0373-ITS-IFP-03701</t>
  </si>
  <si>
    <t>Kahrma cabinet installed but still power meter not installed</t>
  </si>
  <si>
    <t>RA51-EXP0373-ITS-IFP-04201</t>
  </si>
  <si>
    <t>P04/ITS-FP-20</t>
  </si>
  <si>
    <t>ENC 44 &amp; 50 &amp; 51</t>
  </si>
  <si>
    <t>Spare 32 Amp 15nos, ATS on site, GND Cable missisng</t>
  </si>
  <si>
    <t>AS80-EXP0373-ITS-IFP-04901</t>
  </si>
  <si>
    <t>P04/ITS-FP-22A</t>
  </si>
  <si>
    <t>ITS-FP-22 Connected with MCCB 125A</t>
  </si>
  <si>
    <t>Spare 125Amp MCCB 3 nos, GND missing</t>
  </si>
  <si>
    <t>160Amp</t>
  </si>
  <si>
    <t>AS80-EXP0373-ITS-IFP-05401</t>
  </si>
  <si>
    <t>P04/ITS-FP-25A</t>
  </si>
  <si>
    <t>Spare 125Amp 3nos,</t>
  </si>
  <si>
    <t>AS80-EXP0373-ITS-IFP-06301</t>
  </si>
  <si>
    <t>ENC 25</t>
  </si>
  <si>
    <t>Spare 16 1 nos, 10 1nos</t>
  </si>
  <si>
    <t>RA55-EXP0364-ITS-IFP-00001</t>
  </si>
  <si>
    <t>Spare 32Amp 1 nos</t>
  </si>
  <si>
    <t>RA55-EXP0364-ITS-IFP-00002</t>
  </si>
  <si>
    <t>ENC 05 &amp; 04</t>
  </si>
  <si>
    <t>Spare 32Amp 11 nos, Door not properly open</t>
  </si>
  <si>
    <t>RA54-EXP0364-ITS-IFP-00003</t>
  </si>
  <si>
    <t>P07-C5-ENC06/ENC-07</t>
  </si>
  <si>
    <t>1393649/1393650</t>
  </si>
  <si>
    <t>RA55-SEC0170-ITS-IFP-00004</t>
  </si>
  <si>
    <t>ENC 09 &amp; 10</t>
  </si>
  <si>
    <t>Spare 32 Amp 10nos</t>
  </si>
  <si>
    <t>RA55-EXP0150-ITS-IFP-00005</t>
  </si>
  <si>
    <t>ENC 13 &amp; 08 &amp; 14 &amp; 12</t>
  </si>
  <si>
    <t>Spare 32Amp 2nos, Power cable need arrangement, ATS on site</t>
  </si>
  <si>
    <t>RA54-EXP0364-ITS-IFP-00006</t>
  </si>
  <si>
    <t>ENC 11</t>
  </si>
  <si>
    <t>1393640/1393641</t>
  </si>
  <si>
    <t>Spare 32Amp 5nos</t>
  </si>
  <si>
    <t>RA54-PRM0364-ITS-IFP-00002</t>
  </si>
  <si>
    <t>1398873/1399875</t>
  </si>
  <si>
    <t>2 main power Sources. ENC-01 Cabinet is connected to FP-01</t>
  </si>
  <si>
    <t>200A/200A</t>
  </si>
  <si>
    <t>WA90-EXP0201-ITS-IFP-00001</t>
  </si>
  <si>
    <t>ITS-FP-2 ITS</t>
  </si>
  <si>
    <t>WA90-TER0116-ITS-IFP-00002</t>
  </si>
  <si>
    <t>ITS-FP-3 ITS</t>
  </si>
  <si>
    <t>ENC-04 &amp; 03</t>
  </si>
  <si>
    <t>Cabinet door is Damaged</t>
  </si>
  <si>
    <t>WA90-TER0721-ITS-IFP-00003</t>
  </si>
  <si>
    <t>ITS-FP-4 ITS</t>
  </si>
  <si>
    <t>ENC-04</t>
  </si>
  <si>
    <t>ENC-04 is connected to FP-04 cabinet</t>
  </si>
  <si>
    <t>WA90-EXP0201-ITS-IFP-00004</t>
  </si>
  <si>
    <t>ENC-30(133) &amp;ENC-31(134)</t>
  </si>
  <si>
    <t>WA91-EXP0281-ITS-IFP-13302</t>
  </si>
  <si>
    <t>ENC 99,101</t>
  </si>
  <si>
    <t>WA91-EXP0281-ITS-IFP-13401</t>
  </si>
  <si>
    <t>ITS-FP-25A</t>
  </si>
  <si>
    <t>MCCB 125A Connected with FP-25 Cabinet</t>
  </si>
  <si>
    <t>MCCB 125A Spare 3 No</t>
  </si>
  <si>
    <t>DA50-EXP2000-ITS-IFP-13501</t>
  </si>
  <si>
    <t>ENC-32</t>
  </si>
  <si>
    <t>Spare Breaker 63A 1 No, 40A 1 No, 32A 3 No</t>
  </si>
  <si>
    <t>DA50-EXP2000-ITS-IFP-13502</t>
  </si>
  <si>
    <t>ENC-33</t>
  </si>
  <si>
    <t>Unlabeled Cable Connected with FP-29, CB 63A Spare 1 No, CB 32A 3 Spare</t>
  </si>
  <si>
    <t>DA50-EXP2000-ITS-IFP-13601</t>
  </si>
  <si>
    <t>ENC-34 &amp; 137</t>
  </si>
  <si>
    <t>WA91-EXP2000-ITS-IFP-13701</t>
  </si>
  <si>
    <t>ENC-138</t>
  </si>
  <si>
    <t>ENC-138 CONNECTED TO ITS-FP-30</t>
  </si>
  <si>
    <t>WA91-EXP2000-ITS-IFP-13801</t>
  </si>
  <si>
    <t>ITS- FP- 32A</t>
  </si>
  <si>
    <t>ENC-139</t>
  </si>
  <si>
    <t>WA91-EXP2000-ITS-IFP-13901</t>
  </si>
  <si>
    <t>NO CABLE CONNECTED</t>
  </si>
  <si>
    <t>13906O8</t>
  </si>
  <si>
    <t>NO CABLE CONNECTED TO ITS-FP 32</t>
  </si>
  <si>
    <t>WA91-EXP2000-ITS-IFP-13902</t>
  </si>
  <si>
    <t>ITS-FP-33A</t>
  </si>
  <si>
    <t>ENC-</t>
  </si>
  <si>
    <t>125A MCCB Spare 3 No's</t>
  </si>
  <si>
    <t>DA50-EXP2000-ITS-IFP-14001</t>
  </si>
  <si>
    <t>ENC-140</t>
  </si>
  <si>
    <t>ITS -FP-33 CONNECTED WITH ITS-FP-33A, 40A CB 1 No, 32A 4 No's</t>
  </si>
  <si>
    <t>DA50-EXP2000-ITS-IFP-14002</t>
  </si>
  <si>
    <t>ENC-141</t>
  </si>
  <si>
    <t>Unlabeled Cable Connected with FP-34, CB 40A 1 No, CB 32A 3 No's Spare.</t>
  </si>
  <si>
    <t>DA50-EXP2000-ITS-IFP-14101</t>
  </si>
  <si>
    <t>ENC-142</t>
  </si>
  <si>
    <t>MOI-SS -COMECTED TO THE CABINT.FP-35</t>
  </si>
  <si>
    <t>DA50-EXP2000-ITS-IFP-14201</t>
  </si>
  <si>
    <t>ENC 142</t>
  </si>
  <si>
    <t>DA50-EXP2000-ITS-IFP-14202</t>
  </si>
  <si>
    <t>ITS-FP-36A</t>
  </si>
  <si>
    <t>Spare 125Amp MCCB 3 nos,</t>
  </si>
  <si>
    <t>DA50-EXP2000-ITS-IFP-14301</t>
  </si>
  <si>
    <t>ENC-143 &amp;144</t>
  </si>
  <si>
    <t>CB 32A Spare 3 No's, 40A 1 No</t>
  </si>
  <si>
    <t>DA50-EXP2000-ITS-IFP-14302</t>
  </si>
  <si>
    <t>P11-FP-38A</t>
  </si>
  <si>
    <t>WA91-EXP2000-ITS-IFP-14401</t>
  </si>
  <si>
    <t>ITS- FP- 38A</t>
  </si>
  <si>
    <t>ENC-144 &amp; 148</t>
  </si>
  <si>
    <t>WA91-EXP2000-ITS-IFP-14402</t>
  </si>
  <si>
    <t>ITS-FP-37A</t>
  </si>
  <si>
    <t>ITS -FP-37 CONNECTED WITH ITS-FP-37A</t>
  </si>
  <si>
    <t>DA50-EXP2000-ITS-IFP-14601</t>
  </si>
  <si>
    <t>ITS -FP-37 CONNECTED WITH ITS-FP-37A, Unlabeled Cable Connected with FP-37</t>
  </si>
  <si>
    <t>DA50-EXP2000-ITS-IFP-14602</t>
  </si>
  <si>
    <t>ITS-FP-39A</t>
  </si>
  <si>
    <t>ITS-FP-39A MCB power is connected from ITS-FP-39 Cabinet</t>
  </si>
  <si>
    <t>DA50-EXP2000-ITS-IFP-14701</t>
  </si>
  <si>
    <t>ENC-42(147)</t>
  </si>
  <si>
    <t>ENC42(147) power is connected to FP-39</t>
  </si>
  <si>
    <t>DA50-EXP2000-ITS-IFP-14702</t>
  </si>
  <si>
    <t>ITS-FP-48</t>
  </si>
  <si>
    <t>ENC-43&amp;44</t>
  </si>
  <si>
    <t>ENC 43&amp;44 power is connected to FP-48 cabinet</t>
  </si>
  <si>
    <t>DA50-EXP0311-ITS-IFP-14901</t>
  </si>
  <si>
    <t>ENC-151&amp;150,ITS FP-48</t>
  </si>
  <si>
    <t>ENC 151&amp;150 power is connected to FP-49 cabinet 
 ITS-FP-48 MCB power is connected from ITS-FP-49 Cabinet</t>
  </si>
  <si>
    <t>DA49-EXP0311-ITS-IFP-15101</t>
  </si>
  <si>
    <t>ENC-45(149),45A(155),45B(145)</t>
  </si>
  <si>
    <t>ENC-45(149),45A(155),45B(145) power is connected to FP-40 cabinet</t>
  </si>
  <si>
    <t>DA50-EXP2000-ITS-IFP-15301</t>
  </si>
  <si>
    <t>ENC-46(167)</t>
  </si>
  <si>
    <t>ENC-46(156) power is connected to FP-41 cabinet</t>
  </si>
  <si>
    <t>DA50-EXP2000-ITS-IFP-15601</t>
  </si>
  <si>
    <t>P011/ITS-FP-47</t>
  </si>
  <si>
    <t>ENC-47,47A &amp;48</t>
  </si>
  <si>
    <t>DA49-EXP0311-ITS-IFP-15701</t>
  </si>
  <si>
    <t>ENE 48 &amp; 51</t>
  </si>
  <si>
    <t>Spare CB 32A 3Nos / 40A 1No / 10A 1No</t>
  </si>
  <si>
    <t>WA91-EXP0311-ITS-IFP-15901</t>
  </si>
  <si>
    <t>P011/ITS-FP-45</t>
  </si>
  <si>
    <t>ENC-49(163),50(162),51(161)</t>
  </si>
  <si>
    <t>DA49-EXP0311-ITS-IFP-16101</t>
  </si>
  <si>
    <t>P011/ITS-FP-44</t>
  </si>
  <si>
    <t>Cabinet total damaged by Car Accident</t>
  </si>
  <si>
    <t>DA49-EXP0311-ITS-IFP-16501</t>
  </si>
  <si>
    <t>ENC-53(167)</t>
  </si>
  <si>
    <t>ENC-53(167) power is connected to FP-43 cabinet</t>
  </si>
  <si>
    <t>WA91-EXP0311-ITS-IFP-16701</t>
  </si>
  <si>
    <t>P011/ITS-FP-42A</t>
  </si>
  <si>
    <t>ITS-FP-42 MCB is connected to FP-42A ( Single Phase)</t>
  </si>
  <si>
    <t>DA49-EXP0311-ITS-IFP-16801</t>
  </si>
  <si>
    <t>ENC-53(169)53A(168)&amp;54(170)</t>
  </si>
  <si>
    <t>NO kharama is near the feeder cabin</t>
  </si>
  <si>
    <t>DA49-EXP0311-ITS-IFP-16802</t>
  </si>
  <si>
    <t>ITS-FP-50A</t>
  </si>
  <si>
    <t>DA49-EXP2000-ITS-IFP-17101</t>
  </si>
  <si>
    <t>ENC-55A(170) &amp; 55(171)</t>
  </si>
  <si>
    <t>ATS ob site</t>
  </si>
  <si>
    <t>DA49-EXP2000-ITS-IFP-17102</t>
  </si>
  <si>
    <t>P11/ITS-FP-51A</t>
  </si>
  <si>
    <t>ITS-FP-53 &amp; ITS-FP-51</t>
  </si>
  <si>
    <t>KM has meter number but meter is not install Yet.</t>
  </si>
  <si>
    <t>DA49-EXP2000-ITS-IFP-17301</t>
  </si>
  <si>
    <t>P011/ITS-FP-51</t>
  </si>
  <si>
    <t>ENC-56(173)</t>
  </si>
  <si>
    <t>DA49-EXP2000-ITS-IFP-17302</t>
  </si>
  <si>
    <t>Airport security zone Entry blocked with barricades.</t>
  </si>
  <si>
    <t>DA49-EXP2000-ITS-IFP-17401</t>
  </si>
  <si>
    <t>ITS-FP52,ENC-57 &amp;174</t>
  </si>
  <si>
    <t>ITS-FP-52 MCB power is connected from ITS-FP-52A Cabinet
 ENC- 57 &amp; ENC-174 power Connected to FP-52 Cabinet
 MOI is also connected to FP-52 cabinet</t>
  </si>
  <si>
    <t>DA49-EXP2000-ITS-IFP-17402</t>
  </si>
  <si>
    <t>P11/ITS-FP-53</t>
  </si>
  <si>
    <t>ENC-173</t>
  </si>
  <si>
    <t>DA49-EXP2000-ITS-IFP-17501</t>
  </si>
  <si>
    <t>ENC-96 &amp; 95</t>
  </si>
  <si>
    <t>RA56-EXP2000-ITS-IFP-09501</t>
  </si>
  <si>
    <t>ENC-97, CP12-SC-06, FP-01</t>
  </si>
  <si>
    <t>RA56-EXP2000-ITS-IFP-09701</t>
  </si>
  <si>
    <t>ENC-3(99)</t>
  </si>
  <si>
    <t>WA91-EXP2000-ITS-IFP-09901</t>
  </si>
  <si>
    <t>ENC-04 &amp; 4A</t>
  </si>
  <si>
    <t>RA56-SEC1116-ITS-IFP-10001</t>
  </si>
  <si>
    <t>ENC 2A &amp;05</t>
  </si>
  <si>
    <t>RA56-EXP1118-ITS-IFP-10201</t>
  </si>
  <si>
    <t>ENC-06(103) &amp; 06A(104</t>
  </si>
  <si>
    <t>WA91-EXP2000-ITS-IFP-10301</t>
  </si>
  <si>
    <t>ENC-07(105)</t>
  </si>
  <si>
    <t>WA91-EXP2000-ITS-IFP-10501</t>
  </si>
  <si>
    <t>ENC-01(106)</t>
  </si>
  <si>
    <t>WA91-EXP2000-ITS-IFP-10601</t>
  </si>
  <si>
    <t>cabinet connected with kahramaa power</t>
  </si>
  <si>
    <t>160 Amp</t>
  </si>
  <si>
    <t>RA56-EXP2000-ITS-IFP-10701</t>
  </si>
  <si>
    <t>ITS-FP-10 MCCB is connected from ITS-FP-10A</t>
  </si>
  <si>
    <t>RA56-EXP2000-ITS-IFP-10702</t>
  </si>
  <si>
    <t>WA91-EXP2000-ITS-IFP-11001</t>
  </si>
  <si>
    <t>ENC-10,11 &amp;11A</t>
  </si>
  <si>
    <t>Feeding to ENC 10,11,11A</t>
  </si>
  <si>
    <t>WA91-EXP2000-ITS-IFP-11002</t>
  </si>
  <si>
    <t>ITS-FP-13A</t>
  </si>
  <si>
    <t>RA56-EXP2000-ITS-IFP-11201</t>
  </si>
  <si>
    <t>ENC-111</t>
  </si>
  <si>
    <t>ITS-FP-13 MCCB is connected from ITS-FP-13A (ENC112 connected with cb32A)</t>
  </si>
  <si>
    <t>RA56-EXP2000-ITS-IFP-11202</t>
  </si>
  <si>
    <t>ENC-113</t>
  </si>
  <si>
    <t>Feeding to ENC 113 ,Have ATS</t>
  </si>
  <si>
    <t>WA91-EXP2000-ITS-IFP-11301</t>
  </si>
  <si>
    <t>ITS-FP-15A</t>
  </si>
  <si>
    <t>MCCB 200A Spare 2 No's</t>
  </si>
  <si>
    <t>RA56-EXP2000-ITS-IFP-11401</t>
  </si>
  <si>
    <t>ATS on site, FP-15 Connected with FP-15A</t>
  </si>
  <si>
    <t>RA56-EXP2000-ITS-IFP-11402</t>
  </si>
  <si>
    <t>NO CABLE CONNECTED TO ITS-FP 16</t>
  </si>
  <si>
    <t>WA91-EXP2000-ITS-IFP-11501</t>
  </si>
  <si>
    <t>ITS- FP- 16</t>
  </si>
  <si>
    <t>ENC-115 &amp; 116</t>
  </si>
  <si>
    <t>ENC-115 ENC-116 IS COMECTED TO FT-16 CABINET</t>
  </si>
  <si>
    <t>WA91-EXP2000-ITS-IFP-11502</t>
  </si>
  <si>
    <t>P11-ITS-FP-16</t>
  </si>
  <si>
    <t>ENC 115 &amp; 116</t>
  </si>
  <si>
    <t>RA56-EXP2000-ITS-IFP-11701</t>
  </si>
  <si>
    <t>ITS- IFP-24A</t>
  </si>
  <si>
    <t>ENC</t>
  </si>
  <si>
    <t>ENC- conneceted to ITS-FP-24A</t>
  </si>
  <si>
    <t>RA56-EXP0281-ITS-IFP-11901</t>
  </si>
  <si>
    <t>ENC-119 &amp;120</t>
  </si>
  <si>
    <t>ATS on site, cabinet connected with kahramaa power</t>
  </si>
  <si>
    <t>RA56-EXP0281-ITS-IFP-11902</t>
  </si>
  <si>
    <t>ITS-FP-23A</t>
  </si>
  <si>
    <t>P011-ITS-FP-23</t>
  </si>
  <si>
    <t>RA56-EXP0281-ITS-IFP-12101</t>
  </si>
  <si>
    <t>ENC-121 &amp; 127</t>
  </si>
  <si>
    <t>Log Sheet holder Missing</t>
  </si>
  <si>
    <t>DA50-EXP0281-ITS-IFP-12102</t>
  </si>
  <si>
    <t>Q1 (No Lable)</t>
  </si>
  <si>
    <t>RA56-EXP0281-ITS-IFP-12301</t>
  </si>
  <si>
    <t>ENC 123</t>
  </si>
  <si>
    <t>ITS-FP-22 MCCB is connected from ITS-FP-22A</t>
  </si>
  <si>
    <t>RA56-EXP0281-ITS-IFP-12302</t>
  </si>
  <si>
    <t>ITS FP 21</t>
  </si>
  <si>
    <t>ENC 124, ENC 125</t>
  </si>
  <si>
    <t>Feeding to two connection,ENC 124,125</t>
  </si>
  <si>
    <t>DA50-EXP0281-ITS-IFP-12401</t>
  </si>
  <si>
    <t>ENC-24&amp;24A</t>
  </si>
  <si>
    <t>ENC-24 ENC-24A IS COMECTED TO FP-18, Have ATS</t>
  </si>
  <si>
    <t>WA91-EXP0281-ITS-IFP-12601</t>
  </si>
  <si>
    <t>P11/ITS-FP-26</t>
  </si>
  <si>
    <t>25&amp;26&amp;26A&amp;Unlabel Cable&amp; FP27</t>
  </si>
  <si>
    <t>Spare CB 32A 11Nos</t>
  </si>
  <si>
    <t>WA91-EXP0281-ITS-IFP-12801</t>
  </si>
  <si>
    <t>Spare CB 32A 4Nos&amp; Spare CB 63A 1No &amp; Spare CB 80A 1No &amp; Main GND Cable Missing</t>
  </si>
  <si>
    <t>WA91-EXP0281-ITS-IFP-12901</t>
  </si>
  <si>
    <t>P11/ITS-FP-27</t>
  </si>
  <si>
    <t>28&amp;29</t>
  </si>
  <si>
    <t>FP27 Connected with FP26</t>
  </si>
  <si>
    <t>WA91-EXP0281-ITS-IFP-13101</t>
  </si>
  <si>
    <t>ITS-FP-28A</t>
  </si>
  <si>
    <t>Sapre CB 125A MCCB 3Nos</t>
  </si>
  <si>
    <t>WA91-EXP0281-ITS-IFP-13301</t>
  </si>
  <si>
    <t>P10-FP-ITS-9A</t>
  </si>
  <si>
    <t>WA91-EXP2000-ITS-IFP-00701</t>
  </si>
  <si>
    <t>ITS- FP- 8A</t>
  </si>
  <si>
    <t>RA81-EXP2000-ITS-IFP-01401</t>
  </si>
  <si>
    <t>ITS-FP-11A</t>
  </si>
  <si>
    <t>WA91-EXP2000-ITS-IFP-01801</t>
  </si>
  <si>
    <t>ITS-FP- 15A</t>
  </si>
  <si>
    <t>With out label one cable connected with mccb-125A</t>
  </si>
  <si>
    <t>MCCB 125A Spare 3nos</t>
  </si>
  <si>
    <t>160A/ Siemens</t>
  </si>
  <si>
    <t>DA57-EXP2000-ITS-IFP-02201</t>
  </si>
  <si>
    <t>ITS-FP- 18A</t>
  </si>
  <si>
    <t>DA57-EXP2000-ITS-IFP-03201</t>
  </si>
  <si>
    <t>MCCB 125A Spare 3nos / Cabinet GND Missing</t>
  </si>
  <si>
    <t>DA57-SEC0150-ITS-IFP-03501</t>
  </si>
  <si>
    <t>RA81-EXP2000-ITS-IFP-00301</t>
  </si>
  <si>
    <t>ITS-FP-26A</t>
  </si>
  <si>
    <t>ENC-44,41A &amp;45A</t>
  </si>
  <si>
    <t>Have ATS</t>
  </si>
  <si>
    <t>WA91-EXP2000-ITS-IFP-04101</t>
  </si>
  <si>
    <t>WA91-EXP0490-ITS-IFP-05201</t>
  </si>
  <si>
    <t>P10-FP-ITS-36A</t>
  </si>
  <si>
    <t>DA57-EXP0100-ITS-IFP-05601</t>
  </si>
  <si>
    <t>No panel</t>
  </si>
  <si>
    <t>This location has no panel</t>
  </si>
  <si>
    <t>DA57-LOC0573-ITS-IFP-06001</t>
  </si>
  <si>
    <t>ATS is available in feeder; single power input from Kahrama.</t>
  </si>
  <si>
    <t>RA56-EXP2000-ITS-IFP-07201</t>
  </si>
  <si>
    <t>ENC-76&amp;76A</t>
  </si>
  <si>
    <t>WA91-EXP2000-ITS-IFP-07601</t>
  </si>
  <si>
    <t>WA91-EXP2000-ITS-IFP-08101</t>
  </si>
  <si>
    <t>ITS-FP-57A</t>
  </si>
  <si>
    <t>WA91-EXP2000-ITS-IFP-08601</t>
  </si>
  <si>
    <t>ITS-FP-03601</t>
  </si>
  <si>
    <t>DA48-EXP0270-ITS-IFP-03601</t>
  </si>
  <si>
    <t>ENC-34&amp;35</t>
  </si>
  <si>
    <t>ENC 34 &amp;35 power is connected to FP-18 cabinet ,Have ATS on site</t>
  </si>
  <si>
    <t>DA49-EXP0270-ITS-IFP-03401</t>
  </si>
  <si>
    <t>ITS-FP-17A</t>
  </si>
  <si>
    <t>DA47-EXP0270-ITS-IFP-03101</t>
  </si>
  <si>
    <t>ENC-18 &amp;31, UPS-OUT ENC-32 &amp;33</t>
  </si>
  <si>
    <t>ENC- 18 &amp; 31, UPS- Out ENC-32 &amp;33 power connected to FP-17 cabinet, Have ATS on site</t>
  </si>
  <si>
    <t>DA49-EXP0270-ITS-IFP-03102</t>
  </si>
  <si>
    <t>DA47-LOC0980-ITS-IFP-02501</t>
  </si>
  <si>
    <t>DA46-EXP0270-ITS-IFP-02001</t>
  </si>
  <si>
    <t>ITS-FP-08A</t>
  </si>
  <si>
    <t>125 MCCB Connected with FP-08</t>
  </si>
  <si>
    <t>DA46-LOC0949-ITS-IFP-01801</t>
  </si>
  <si>
    <t>DA46-EXP0270-ITS-IFP-01802</t>
  </si>
  <si>
    <t>ITS-FP-07A</t>
  </si>
  <si>
    <t>No out from this feeder</t>
  </si>
  <si>
    <t>DA46-EXP0270-ITS-IFP-01401</t>
  </si>
  <si>
    <t>DA46-LOC0969-ITS-IFP-01201</t>
  </si>
  <si>
    <t>1430335/1430336</t>
  </si>
  <si>
    <t>MTS IS DAMAGE</t>
  </si>
  <si>
    <t>RA56-PRM0100-ITS-IFP-00001</t>
  </si>
  <si>
    <t>ENC 01</t>
  </si>
  <si>
    <t>1430319/1430338</t>
  </si>
  <si>
    <t>RA56-PRM0100-ITS-IFP-00002</t>
  </si>
  <si>
    <t>ENC-03/ENC-04</t>
  </si>
  <si>
    <t>1430320/1430321</t>
  </si>
  <si>
    <t>RA55-PRM0280-ITS-IFP-00003</t>
  </si>
  <si>
    <t>ENC-06/ ENC-11</t>
  </si>
  <si>
    <t>1430323/1430322</t>
  </si>
  <si>
    <t>RA55-PRM0280-ITS-IFP-00004</t>
  </si>
  <si>
    <t>1429528/1430521</t>
  </si>
  <si>
    <t>RA55-PRM0280-ITS-IFP-00005</t>
  </si>
  <si>
    <t>ENC-08/ENC-09</t>
  </si>
  <si>
    <t>1429530/1429531</t>
  </si>
  <si>
    <t>RA55-PRM0280-ITS-IFP-00006</t>
  </si>
  <si>
    <t>1429532/1429533</t>
  </si>
  <si>
    <t>RA55-PRM0340-ITS-IFP-00007</t>
  </si>
  <si>
    <t>1388361/1388359</t>
  </si>
  <si>
    <t>Two main power sources</t>
  </si>
  <si>
    <t>120A/100A</t>
  </si>
  <si>
    <t>WA91-SEC0881-ITS-IFP-00001</t>
  </si>
  <si>
    <t>1388358/1388357</t>
  </si>
  <si>
    <t>1250A/100A</t>
  </si>
  <si>
    <t>WA91-SEC0881-ITS-IFP-00002</t>
  </si>
  <si>
    <t>1388387/1388388</t>
  </si>
  <si>
    <t>125A/100A</t>
  </si>
  <si>
    <t>WA91-SEC0299-ITS-IFP-00003</t>
  </si>
  <si>
    <t>PME-01</t>
  </si>
  <si>
    <t>1388385/1388386</t>
  </si>
  <si>
    <t>WA91-SEC0299-ITS-IFP-00001</t>
  </si>
  <si>
    <t>PME-02</t>
  </si>
  <si>
    <t>100A/125A</t>
  </si>
  <si>
    <t>WA91-SEC0299-ITS-IFP-00002</t>
  </si>
  <si>
    <t>ITFP.80/P2-6</t>
  </si>
  <si>
    <t>GME 001</t>
  </si>
  <si>
    <t>Kahrama, no input power. The KM Cabinet doors missing feeder door was broken.Internal cables were damaged</t>
  </si>
  <si>
    <t>RA51-PRM1850-ITS-IFP-00001</t>
  </si>
  <si>
    <t>No Out put Label</t>
  </si>
  <si>
    <t>WA92-SEC0531-ITS-IFP-00001</t>
  </si>
  <si>
    <t>ENC-09 power is coonected to FP-10 Cabinet</t>
  </si>
  <si>
    <t>WA92-SEC0531-ITS-IFP-00002</t>
  </si>
  <si>
    <t>NO Panel TAG</t>
  </si>
  <si>
    <t>WA92-PRM0313-ITS-IFP-00001</t>
  </si>
  <si>
    <t>No Output Label</t>
  </si>
  <si>
    <t>WA92-PRM0313-ITS-IFP-00002</t>
  </si>
  <si>
    <t>Still under Construction and MCB is OFF</t>
  </si>
  <si>
    <t>WA92-PRM0313-ITS-IFP-00003</t>
  </si>
  <si>
    <t>WA92-SEC0694-ITS-IFP-00002</t>
  </si>
  <si>
    <t>ENC-08 power is connected to FP-20 Cabinet</t>
  </si>
  <si>
    <t>WA92-SEC0694-ITS-IFP-00003</t>
  </si>
  <si>
    <t>ENC-03 power is connected to FP-07 Cabinet</t>
  </si>
  <si>
    <t>WA92-SEC0694-ITS-IFP-00001</t>
  </si>
  <si>
    <t>WA90-PRM0490-ITS-IFP-00001</t>
  </si>
  <si>
    <t>WA90-PRM0490-ITS-IFP-00002</t>
  </si>
  <si>
    <t>WA92-PRM0490-ITS-IFP-00001</t>
  </si>
  <si>
    <t>ENC-07 is coonected to FP-11 Cabinet</t>
  </si>
  <si>
    <t>WA91-PRM0313-ITS-IFP-00001</t>
  </si>
  <si>
    <t>WA90-PRM0313-ITS-IFP-00001</t>
  </si>
  <si>
    <t>WA91-PRM0313-ITS-IFP-00002</t>
  </si>
  <si>
    <t>WA90-PRM0313-ITS-IFP-00002</t>
  </si>
  <si>
    <t>ITS-IFP-00002</t>
  </si>
  <si>
    <t>WA91-PRM0491-ITS-IFP-00002</t>
  </si>
  <si>
    <t>WA91-PRM0491-ITS-IFP-00001</t>
  </si>
  <si>
    <t>WA91-PRM0490-ITS-IFP-00001</t>
  </si>
  <si>
    <t>No Power on the Mulit-meter but Kaharam has power on the Mulit-meter</t>
  </si>
  <si>
    <t>WA91-PRM0490-ITS-IFP-00002</t>
  </si>
  <si>
    <t>ITS'-FP-01</t>
  </si>
  <si>
    <t>RA81-SEC0033-ITS-IFP-00001</t>
  </si>
  <si>
    <t>ITS-FP-29-2</t>
  </si>
  <si>
    <t>ENC 02 &amp; 03</t>
  </si>
  <si>
    <t>RA81-SEC0033-ITS-IFP-00002</t>
  </si>
  <si>
    <t>ITS-FP-30-2</t>
  </si>
  <si>
    <t>ENC 04,05,06</t>
  </si>
  <si>
    <t>DA57-SEC0033-ITS-IFP-00003</t>
  </si>
  <si>
    <t>ITS-FP-42-1</t>
  </si>
  <si>
    <t>ENC 07,08,09</t>
  </si>
  <si>
    <t>DA57-SEC0033-ITS-IFP-00004</t>
  </si>
  <si>
    <t>ITS-FP-31-2</t>
  </si>
  <si>
    <t>ENC 08,11</t>
  </si>
  <si>
    <t>DA57-SEC0033-ITS-IFP-00005</t>
  </si>
  <si>
    <t>ENC 12,13,14,15</t>
  </si>
  <si>
    <t>DA57-SEC0033-ITS-IFP-00006</t>
  </si>
  <si>
    <t>ENC 16,17,18</t>
  </si>
  <si>
    <t>DA57-SEC0033-ITS-IFP-00007</t>
  </si>
  <si>
    <t>ITS-FP-32-1</t>
  </si>
  <si>
    <t>ENC 19&amp;21</t>
  </si>
  <si>
    <t>DA57-SEC0033-ITS-IFP-00008</t>
  </si>
  <si>
    <t>ITS-FP-19A</t>
  </si>
  <si>
    <t>ENC 117</t>
  </si>
  <si>
    <t>Spare 25Amp 3nos, Cabinet door damage</t>
  </si>
  <si>
    <t>DA57-SEC0033-ITS-IFP-00009</t>
  </si>
  <si>
    <t>ENC 20</t>
  </si>
  <si>
    <t>DA57-SEC0033-ITS-IFP-00010</t>
  </si>
  <si>
    <t>ENC 3A&amp; 12</t>
  </si>
  <si>
    <t>DA57-SEC0033-ITS-IFP-00011</t>
  </si>
  <si>
    <t>Spare 6AMp 18nos New cabinet still not connected with any Cabinet</t>
  </si>
  <si>
    <t>DA57-SEC0033-ITS-IFP-00012</t>
  </si>
  <si>
    <t>ITS-FP-42-2</t>
  </si>
  <si>
    <t>ENC N/A</t>
  </si>
  <si>
    <t>Spare 32Ampm 12nos, New cab not connecvted anywhere</t>
  </si>
  <si>
    <t>DA57-SEC0033-ITS-IFP-00013</t>
  </si>
  <si>
    <t>Spare 6Amp 18nos</t>
  </si>
  <si>
    <t>DA57-SEC0033-ITS-IFP-00014</t>
  </si>
  <si>
    <t>FP-SSD-101 F1</t>
  </si>
  <si>
    <t>DA57-SEC0033-ITS-IFP-00015</t>
  </si>
  <si>
    <t>FP-SSD-104 F3</t>
  </si>
  <si>
    <t>DA57-SEC0033-ITS-IFP-00016</t>
  </si>
  <si>
    <t>ENC 01,03</t>
  </si>
  <si>
    <t>1388277/1388263</t>
  </si>
  <si>
    <t>ATS Available Dual Supply feeding from Kharama</t>
  </si>
  <si>
    <t>1393773/1393558</t>
  </si>
  <si>
    <t>ATS Available Dual Supply Feeding from Kahrama</t>
  </si>
  <si>
    <t>ENC 02,06,07</t>
  </si>
  <si>
    <t>1388289/1388290</t>
  </si>
  <si>
    <t>ATS available Dual Supply Feeding from Kahrama ,Under construction in this area, unable to open the cabinet properly.</t>
  </si>
  <si>
    <t>1391025/1391024</t>
  </si>
  <si>
    <t>ATS available dual supply feeding from kharama</t>
  </si>
  <si>
    <t>ENC 05</t>
  </si>
  <si>
    <t>1388287/1388288</t>
  </si>
  <si>
    <t>ATS available Dual Supply Feeding from Kahrama</t>
  </si>
  <si>
    <t>ENC 09,10</t>
  </si>
  <si>
    <t>1388246/1388256</t>
  </si>
  <si>
    <t>P01-ITS-FP-01</t>
  </si>
  <si>
    <t>GME-01 / DGME-01</t>
  </si>
  <si>
    <t>Thamim</t>
  </si>
  <si>
    <t>DA43-PRM0281-ITS-IFP-00001</t>
  </si>
  <si>
    <t>04-ITS-FP-01</t>
  </si>
  <si>
    <t>DGME 01,02</t>
  </si>
  <si>
    <t>DA43-PRM0281-ITS-IFP-00002</t>
  </si>
  <si>
    <t>06-ITS-FP-01</t>
  </si>
  <si>
    <t>06-DGME-01 &amp; 06-GME-02</t>
  </si>
  <si>
    <t>DA46-PRM0281-ITS-IFP-00001</t>
  </si>
  <si>
    <t>17 FP 01</t>
  </si>
  <si>
    <t>RYB 17 TSE VC 01, R RTU AA PNL ,RYB 17 DGME 01, RYB 17 DGME 02</t>
  </si>
  <si>
    <t>It's feeding 4 connections</t>
  </si>
  <si>
    <t>RA56-PRM0330-ITS-IFP-00001</t>
  </si>
  <si>
    <t>ERR PB 01 FP 02 Zone 56</t>
  </si>
  <si>
    <t>RYB DGME 01, RYB LP PB 1B, RYB ELEV 02,18 PME 02</t>
  </si>
  <si>
    <t>Feeding to 4 connections, It's unable to open Karama Panel</t>
  </si>
  <si>
    <t>RA56-PRM0330-ITS-IFP-00002</t>
  </si>
  <si>
    <t>DGME 02,03</t>
  </si>
  <si>
    <t>DA43-PRM0330-ITS-IFP-00001</t>
  </si>
  <si>
    <t>DGME-03,GME-01</t>
  </si>
  <si>
    <t>RA56-PRM0281-ITS-IFP-00001</t>
  </si>
  <si>
    <t>ITS FP 02</t>
  </si>
  <si>
    <t>39-DGME-01,39-DGME-03,</t>
  </si>
  <si>
    <t>Feeding to 39-DGME-01(63A),39-DGME-03(63A), Record Plus</t>
  </si>
  <si>
    <t>RA56-PRM0281-ITS-IFP-00002</t>
  </si>
  <si>
    <t>42-ITS-FP-01</t>
  </si>
  <si>
    <t>42-GME-01/42-pME-01</t>
  </si>
  <si>
    <t>63Amp MCCB connected with FP-01, Spre 32AMp 2 nos, 16 01 nos,</t>
  </si>
  <si>
    <t>DA50-PRM0281-ITS-IFP-00001</t>
  </si>
  <si>
    <t>53DGME 01 + 02</t>
  </si>
  <si>
    <t>Unlabeled Cable Connected with 32A /32A MCCB Spare 1 No</t>
  </si>
  <si>
    <t>RA56-PRM0271-ITS-IFP-00001</t>
  </si>
  <si>
    <t>P56/ITS-FP-01</t>
  </si>
  <si>
    <t>DGME-01,DGME-03</t>
  </si>
  <si>
    <t>DA46-PRM0270-ITS-IFP-00001</t>
  </si>
  <si>
    <t>ITS-FP-01-UP-01</t>
  </si>
  <si>
    <t>P08-C2-PME-01/WME-01/WME-02/WME-03</t>
  </si>
  <si>
    <t>Wall Mounting</t>
  </si>
  <si>
    <t>DA43-PRM0281-ITS-IFP-00003</t>
  </si>
  <si>
    <t>ITS-FP01-UP01</t>
  </si>
  <si>
    <t>P08-C2-PME-01/PME-02/WME-04/WME-05/WME-06</t>
  </si>
  <si>
    <t>DA44-PRM0260-ITS-IFP-00001</t>
  </si>
  <si>
    <t>P01-ITS-FP-02</t>
  </si>
  <si>
    <t>ENC 4</t>
  </si>
  <si>
    <t>RA56-PRM0260-ITS-IFP-00001</t>
  </si>
  <si>
    <t>NO Cabinet find on the location and coordinated show middle of the Highway</t>
  </si>
  <si>
    <t>DA46-PRM0281-ITS-IFP-00002</t>
  </si>
  <si>
    <t>UP 5 ITS FP 01</t>
  </si>
  <si>
    <t>UP 5 DGME 01,UP 5 WME 01,02, 03,04,UP 5 PME 01</t>
  </si>
  <si>
    <t>Feeding to 6 connection, Unable to find the Karama Panel</t>
  </si>
  <si>
    <t>RA56-PRM0281-ITS-IFP-00003</t>
  </si>
  <si>
    <t>DGME-02 &amp; DGME-01</t>
  </si>
  <si>
    <t>RA56-PRM0281-ITS-IFP-00004</t>
  </si>
  <si>
    <t>ENC 1&amp;3</t>
  </si>
  <si>
    <t>RA56-PRM0281-ITS-IFP-00005</t>
  </si>
  <si>
    <t>ITS-FP-01-UP-09</t>
  </si>
  <si>
    <t>P08-C2-WME-01/WME-02</t>
  </si>
  <si>
    <t>DA44-PRM0330-ITS-IFP-00001</t>
  </si>
  <si>
    <t>ENC 113</t>
  </si>
  <si>
    <t>RA56-PRM0281-ITS-IFP-00006</t>
  </si>
  <si>
    <t>P07-C5-ITS-FP-01</t>
  </si>
  <si>
    <t>ENC-01 ENC-1A</t>
  </si>
  <si>
    <t>KM FP DOOR NOT AVALIBALE</t>
  </si>
  <si>
    <t>RA54-PRM0364-ITS-IFP-00001</t>
  </si>
  <si>
    <t>P07-C5-ITS-IFP-1A</t>
  </si>
  <si>
    <t>ENC-07 ENC-1A</t>
  </si>
  <si>
    <t>RA54-PRM0125-ITS-IFP-00001</t>
  </si>
  <si>
    <t>P07-ITS-FP-02</t>
  </si>
  <si>
    <t>ENC-03/ENC-03A/ENC04</t>
  </si>
  <si>
    <t>RA54-PRM0125-ITS-IFP-00002</t>
  </si>
  <si>
    <t>P07-ITS-FP-03</t>
  </si>
  <si>
    <t>RA54-JCN5501-ITS-IFP-00001</t>
  </si>
  <si>
    <t>P07-ITS-FP-04</t>
  </si>
  <si>
    <t>ENC 6 &amp; ENC7&amp; ENC10</t>
  </si>
  <si>
    <t>Spare 16Amp 03 nos,</t>
  </si>
  <si>
    <t>RA54-JCN5501-ITS-IFP-00002</t>
  </si>
  <si>
    <t>P07-ITS-FP-05</t>
  </si>
  <si>
    <t>Spare 40Amp 2nos, 25Amp 2 nos</t>
  </si>
  <si>
    <t>RA54-PRM0910-ITS-IFP-00001</t>
  </si>
  <si>
    <t>P07-ITS-FP-06</t>
  </si>
  <si>
    <t>ENC11/ENC14/ENC/15/ENC16/ENC31</t>
  </si>
  <si>
    <t>RA54-JCN5416-ITS-IFP-00001</t>
  </si>
  <si>
    <t>ENC 14 &amp; 15 &amp; 13</t>
  </si>
  <si>
    <t>Spare 40Amp 1nos, 16Amp 2 nos</t>
  </si>
  <si>
    <t>RA54-JCN5416-ITS-IFP-00002</t>
  </si>
  <si>
    <t>P07-ITS-FP-08</t>
  </si>
  <si>
    <t>ENC-17/ENC-18</t>
  </si>
  <si>
    <t>RA54-PRM0910-ITS-IFP-00002</t>
  </si>
  <si>
    <t>P07-ITS-FP-10</t>
  </si>
  <si>
    <t>ENC-23/ENC-19</t>
  </si>
  <si>
    <t>RA54-PRM0910-ITS-IFP-00003</t>
  </si>
  <si>
    <t>P07-ITS-FP-12</t>
  </si>
  <si>
    <t>RA54-PRM0910-ITS-IFP-00004</t>
  </si>
  <si>
    <t>P07-ITS-FP-11</t>
  </si>
  <si>
    <t>ENC25</t>
  </si>
  <si>
    <t>RA54-PRM0910-ITS-IFP-00005</t>
  </si>
  <si>
    <t>RA54-PRM0364-ITS-IFP-00003</t>
  </si>
  <si>
    <t>P07-ITS-FP-15</t>
  </si>
  <si>
    <t>ENC-29/ENC-30</t>
  </si>
  <si>
    <t>RA54-PRM0364-ITS-IFP-00004</t>
  </si>
  <si>
    <t>P07-ITS-FP-16</t>
  </si>
  <si>
    <t>ENC-30</t>
  </si>
  <si>
    <t>RA54-PRM0364-ITS-IFP-00005</t>
  </si>
  <si>
    <t>P07-ITS-FP-17A</t>
  </si>
  <si>
    <t>RA54-PRM0690-ITS-IFP-00001</t>
  </si>
  <si>
    <t>P07-ITS-FP 17</t>
  </si>
  <si>
    <t>ENC32</t>
  </si>
  <si>
    <t>RA54-PRM0690-ITS-IFP-00002</t>
  </si>
  <si>
    <t>Site still under contrustion and all breakers are OFF</t>
  </si>
  <si>
    <t>Still under construction</t>
  </si>
  <si>
    <t>&amp;lt;Null&amp;gt;</t>
  </si>
  <si>
    <t>Still under Construction</t>
  </si>
  <si>
    <t>ENC-21 &amp;22</t>
  </si>
  <si>
    <t>ENC-22 &amp; ENC-21 power is connected to FP-7 cabinet
 Still under construction and MCB is OFF</t>
  </si>
  <si>
    <t>Site still under contrustion and all breakers are OFF, Kahramaa meter is also not installed</t>
  </si>
  <si>
    <t>This feeder is not operating yet. There is no input and no output power.</t>
  </si>
  <si>
    <t>This coordination is available in Excel, but on site, there is no feeder or ITS cabinet. Nothing is visible on site.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</si>
</sst>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ddd&quot;, &quot;mmmm&quot; &quot;d&quot;, &quot;yyyy&quot;, &quot;h&quot;:&quot;mm&quot;:&quot;ss&quot; &quot;am/pm"/>
    <numFmt numFmtId="165" formatCode="d-mmm-yy"/>
  </numFmts>
  <fonts count="15">
    <font>
      <sz val="11.0"/>
      <color theme="1"/>
      <name val="Calibri"/>
      <scheme val="minor"/>
    </font>
    <font>
      <b/>
      <sz val="14.0"/>
      <color theme="1"/>
      <name val="Calibri"/>
    </font>
    <font>
      <sz val="11.0"/>
      <color theme="1"/>
      <name val="Calibri"/>
    </font>
    <font>
      <sz val="12.0"/>
      <color theme="1"/>
      <name val="Calibri"/>
    </font>
    <font>
      <sz val="12.0"/>
      <color theme="1"/>
      <name val="Arial"/>
    </font>
    <font>
      <color theme="1"/>
      <name val="Calibri"/>
      <scheme val="minor"/>
    </font>
    <font>
      <sz val="11.0"/>
      <color rgb="FF000000"/>
      <name val="Arial"/>
    </font>
    <font>
      <color rgb="FF4A4A4A"/>
      <name val="Arial"/>
    </font>
    <font>
      <sz val="11.0"/>
      <color rgb="FF000000"/>
      <name val="&quot;Aptos Narrow&quot;"/>
    </font>
    <font>
      <sz val="11.0"/>
      <color theme="1"/>
      <name val="Arial"/>
    </font>
    <font>
      <sz val="11.0"/>
      <color theme="1"/>
      <name val="&quot;Aptos Narrow&quot;"/>
    </font>
    <font>
      <sz val="11.0"/>
      <color rgb="FFFF0000"/>
      <name val="&quot;Aptos Narrow&quot;"/>
    </font>
    <font>
      <sz val="11.0"/>
      <color rgb="FF000000"/>
      <name val="&quot;Aptos Display&quot;"/>
    </font>
    <font>
      <sz val="11.0"/>
      <color rgb="FF00B050"/>
      <name val="&quot;Aptos Narrow&quot;"/>
    </font>
    <font>
      <color rgb="FF000000"/>
      <name val="&quot;Aptos Narrow&quot;"/>
    </font>
  </fonts>
  <fills count="11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F5F5F5"/>
        <bgColor rgb="FFF5F5F5"/>
      </patternFill>
    </fill>
    <fill>
      <patternFill patternType="solid">
        <fgColor rgb="FF83CCEB"/>
        <bgColor rgb="FF83CCEB"/>
      </patternFill>
    </fill>
    <fill>
      <patternFill patternType="solid">
        <fgColor rgb="FF4EA72E"/>
        <bgColor rgb="FF4EA72E"/>
      </patternFill>
    </fill>
    <fill>
      <patternFill patternType="solid">
        <fgColor rgb="FFFF0000"/>
        <bgColor rgb="FFFF0000"/>
      </patternFill>
    </fill>
    <fill>
      <patternFill patternType="solid">
        <fgColor rgb="FFDAE9F8"/>
        <bgColor rgb="FFDAE9F8"/>
      </patternFill>
    </fill>
    <fill>
      <patternFill patternType="solid">
        <fgColor rgb="FFFFFFFF"/>
        <bgColor rgb="FFFFFFFF"/>
      </patternFill>
    </fill>
    <fill>
      <patternFill patternType="solid">
        <fgColor rgb="FFFBE2D5"/>
        <bgColor rgb="FFFBE2D5"/>
      </patternFill>
    </fill>
    <fill>
      <patternFill patternType="solid">
        <fgColor rgb="FFE8E8E8"/>
        <bgColor rgb="FFE8E8E8"/>
      </patternFill>
    </fill>
  </fills>
  <borders count="8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right style="thin">
        <color rgb="FF000000"/>
      </right>
      <top style="thin">
        <color rgb="FF000000"/>
      </top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right style="thin">
        <color rgb="FF000000"/>
      </right>
    </border>
  </borders>
  <cellStyleXfs count="1">
    <xf borderId="0" fillId="0" fontId="0" numFmtId="0" applyAlignment="1" applyFont="1"/>
  </cellStyleXfs>
  <cellXfs count="10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center"/>
    </xf>
    <xf borderId="1" fillId="2" fontId="1" numFmtId="0" xfId="0" applyAlignment="1" applyBorder="1" applyFont="1">
      <alignment horizontal="center" readingOrder="0" vertical="center"/>
    </xf>
    <xf borderId="0" fillId="0" fontId="2" numFmtId="0" xfId="0" applyAlignment="1" applyFont="1">
      <alignment horizontal="center" vertical="center"/>
    </xf>
    <xf borderId="1" fillId="0" fontId="3" numFmtId="0" xfId="0" applyAlignment="1" applyBorder="1" applyFont="1">
      <alignment horizontal="center" readingOrder="0" vertical="center"/>
    </xf>
    <xf borderId="1" fillId="0" fontId="4" numFmtId="164" xfId="0" applyAlignment="1" applyBorder="1" applyFont="1" applyNumberFormat="1">
      <alignment horizontal="center" readingOrder="0" shrinkToFit="0" vertical="center" wrapText="1"/>
    </xf>
    <xf borderId="0" fillId="0" fontId="2" numFmtId="0" xfId="0" applyAlignment="1" applyFont="1">
      <alignment horizontal="center" readingOrder="0" vertical="center"/>
    </xf>
    <xf borderId="0" fillId="0" fontId="5" numFmtId="0" xfId="0" applyAlignment="1" applyFont="1">
      <alignment readingOrder="0"/>
    </xf>
    <xf borderId="0" fillId="0" fontId="5" numFmtId="0" xfId="0" applyAlignment="1" applyFont="1">
      <alignment horizontal="center"/>
    </xf>
    <xf borderId="0" fillId="0" fontId="5" numFmtId="0" xfId="0" applyAlignment="1" applyFont="1">
      <alignment horizontal="center" vertical="center"/>
    </xf>
    <xf borderId="1" fillId="0" fontId="5" numFmtId="0" xfId="0" applyAlignment="1" applyBorder="1" applyFont="1">
      <alignment horizontal="center" readingOrder="0" vertical="center"/>
    </xf>
    <xf borderId="1" fillId="0" fontId="6" numFmtId="0" xfId="0" applyAlignment="1" applyBorder="1" applyFont="1">
      <alignment horizontal="left" readingOrder="0" shrinkToFit="0" vertical="bottom" wrapText="0"/>
    </xf>
    <xf borderId="1" fillId="3" fontId="7" numFmtId="0" xfId="0" applyAlignment="1" applyBorder="1" applyFill="1" applyFont="1">
      <alignment horizontal="center" readingOrder="0" vertical="center"/>
    </xf>
    <xf borderId="1" fillId="0" fontId="5" numFmtId="0" xfId="0" applyAlignment="1" applyBorder="1" applyFont="1">
      <alignment horizontal="center" vertical="center"/>
    </xf>
    <xf borderId="1" fillId="0" fontId="5" numFmtId="0" xfId="0" applyBorder="1" applyFont="1"/>
    <xf borderId="1" fillId="0" fontId="5" numFmtId="0" xfId="0" applyAlignment="1" applyBorder="1" applyFont="1">
      <alignment horizontal="center"/>
    </xf>
    <xf borderId="2" fillId="4" fontId="8" numFmtId="0" xfId="0" applyAlignment="1" applyBorder="1" applyFill="1" applyFont="1">
      <alignment readingOrder="0" shrinkToFit="0" vertical="bottom" wrapText="0"/>
    </xf>
    <xf borderId="3" fillId="4" fontId="8" numFmtId="0" xfId="0" applyAlignment="1" applyBorder="1" applyFont="1">
      <alignment readingOrder="0" shrinkToFit="0" vertical="bottom" wrapText="0"/>
    </xf>
    <xf borderId="3" fillId="2" fontId="9" numFmtId="0" xfId="0" applyAlignment="1" applyBorder="1" applyFont="1">
      <alignment horizontal="left" readingOrder="0" shrinkToFit="0" vertical="bottom" wrapText="0"/>
    </xf>
    <xf borderId="3" fillId="2" fontId="10" numFmtId="0" xfId="0" applyAlignment="1" applyBorder="1" applyFont="1">
      <alignment horizontal="left" readingOrder="0" shrinkToFit="0" vertical="bottom" wrapText="0"/>
    </xf>
    <xf borderId="3" fillId="2" fontId="10" numFmtId="0" xfId="0" applyAlignment="1" applyBorder="1" applyFont="1">
      <alignment readingOrder="0" shrinkToFit="0" vertical="bottom" wrapText="0"/>
    </xf>
    <xf borderId="3" fillId="2" fontId="10" numFmtId="0" xfId="0" applyAlignment="1" applyBorder="1" applyFont="1">
      <alignment readingOrder="0" vertical="bottom"/>
    </xf>
    <xf borderId="3" fillId="2" fontId="11" numFmtId="0" xfId="0" applyAlignment="1" applyBorder="1" applyFont="1">
      <alignment readingOrder="0" shrinkToFit="0" vertical="bottom" wrapText="0"/>
    </xf>
    <xf borderId="3" fillId="2" fontId="11" numFmtId="0" xfId="0" applyAlignment="1" applyBorder="1" applyFont="1">
      <alignment horizontal="left" readingOrder="0" shrinkToFit="0" vertical="bottom" wrapText="0"/>
    </xf>
    <xf borderId="1" fillId="2" fontId="10" numFmtId="0" xfId="0" applyAlignment="1" applyBorder="1" applyFont="1">
      <alignment readingOrder="0" shrinkToFit="0" vertical="bottom" wrapText="0"/>
    </xf>
    <xf borderId="1" fillId="5" fontId="8" numFmtId="0" xfId="0" applyAlignment="1" applyBorder="1" applyFill="1" applyFont="1">
      <alignment readingOrder="0" shrinkToFit="0" vertical="bottom" wrapText="0"/>
    </xf>
    <xf borderId="4" fillId="5" fontId="8" numFmtId="0" xfId="0" applyAlignment="1" applyBorder="1" applyFont="1">
      <alignment readingOrder="0" shrinkToFit="0" vertical="bottom" wrapText="0"/>
    </xf>
    <xf borderId="1" fillId="6" fontId="8" numFmtId="0" xfId="0" applyAlignment="1" applyBorder="1" applyFill="1" applyFont="1">
      <alignment readingOrder="0" shrinkToFit="0" vertical="bottom" wrapText="0"/>
    </xf>
    <xf borderId="3" fillId="7" fontId="8" numFmtId="0" xfId="0" applyAlignment="1" applyBorder="1" applyFill="1" applyFont="1">
      <alignment readingOrder="0" shrinkToFit="0" vertical="bottom" wrapText="0"/>
    </xf>
    <xf borderId="2" fillId="7" fontId="8" numFmtId="0" xfId="0" applyAlignment="1" applyBorder="1" applyFont="1">
      <alignment readingOrder="0" shrinkToFit="0" vertical="bottom" wrapText="0"/>
    </xf>
    <xf borderId="1" fillId="0" fontId="8" numFmtId="0" xfId="0" applyAlignment="1" applyBorder="1" applyFont="1">
      <alignment horizontal="left" readingOrder="0" shrinkToFit="0" vertical="bottom" wrapText="0"/>
    </xf>
    <xf borderId="5" fillId="0" fontId="8" numFmtId="0" xfId="0" applyAlignment="1" applyBorder="1" applyFont="1">
      <alignment horizontal="left" readingOrder="0" shrinkToFit="0" vertical="bottom" wrapText="0"/>
    </xf>
    <xf borderId="1" fillId="0" fontId="8" numFmtId="0" xfId="0" applyAlignment="1" applyBorder="1" applyFont="1">
      <alignment horizontal="left" readingOrder="0" vertical="bottom"/>
    </xf>
    <xf borderId="1" fillId="0" fontId="8" numFmtId="165" xfId="0" applyAlignment="1" applyBorder="1" applyFont="1" applyNumberFormat="1">
      <alignment horizontal="left" readingOrder="0" shrinkToFit="0" vertical="bottom" wrapText="0"/>
    </xf>
    <xf borderId="1" fillId="8" fontId="8" numFmtId="0" xfId="0" applyAlignment="1" applyBorder="1" applyFill="1" applyFont="1">
      <alignment horizontal="left" readingOrder="0" shrinkToFit="0" vertical="bottom" wrapText="0"/>
    </xf>
    <xf borderId="1" fillId="0" fontId="8" numFmtId="0" xfId="0" applyAlignment="1" applyBorder="1" applyFont="1">
      <alignment horizontal="left" shrinkToFit="0" vertical="bottom" wrapText="0"/>
    </xf>
    <xf borderId="6" fillId="0" fontId="8" numFmtId="0" xfId="0" applyAlignment="1" applyBorder="1" applyFont="1">
      <alignment horizontal="left" readingOrder="0" shrinkToFit="0" vertical="bottom" wrapText="0"/>
    </xf>
    <xf borderId="1" fillId="8" fontId="8" numFmtId="0" xfId="0" applyAlignment="1" applyBorder="1" applyFont="1">
      <alignment horizontal="left" readingOrder="0" shrinkToFit="0" wrapText="0"/>
    </xf>
    <xf borderId="0" fillId="0" fontId="8" numFmtId="0" xfId="0" applyAlignment="1" applyFont="1">
      <alignment readingOrder="0" shrinkToFit="0" vertical="bottom" wrapText="0"/>
    </xf>
    <xf borderId="6" fillId="0" fontId="8" numFmtId="0" xfId="0" applyAlignment="1" applyBorder="1" applyFont="1">
      <alignment horizontal="left" readingOrder="0" shrinkToFit="0" wrapText="0"/>
    </xf>
    <xf borderId="1" fillId="0" fontId="8" numFmtId="0" xfId="0" applyAlignment="1" applyBorder="1" applyFont="1">
      <alignment horizontal="left" readingOrder="0"/>
    </xf>
    <xf borderId="1" fillId="0" fontId="8" numFmtId="0" xfId="0" applyAlignment="1" applyBorder="1" applyFont="1">
      <alignment horizontal="left" readingOrder="0" shrinkToFit="0" wrapText="0"/>
    </xf>
    <xf borderId="1" fillId="0" fontId="8" numFmtId="165" xfId="0" applyAlignment="1" applyBorder="1" applyFont="1" applyNumberFormat="1">
      <alignment horizontal="left" readingOrder="0" shrinkToFit="0" wrapText="0"/>
    </xf>
    <xf borderId="1" fillId="8" fontId="12" numFmtId="0" xfId="0" applyAlignment="1" applyBorder="1" applyFont="1">
      <alignment horizontal="left" readingOrder="0" shrinkToFit="0" wrapText="0"/>
    </xf>
    <xf borderId="1" fillId="0" fontId="6" numFmtId="165" xfId="0" applyAlignment="1" applyBorder="1" applyFont="1" applyNumberFormat="1">
      <alignment horizontal="left" readingOrder="0" shrinkToFit="0" wrapText="0"/>
    </xf>
    <xf borderId="1" fillId="0" fontId="11" numFmtId="0" xfId="0" applyAlignment="1" applyBorder="1" applyFont="1">
      <alignment horizontal="left" readingOrder="0" shrinkToFit="0" vertical="bottom" wrapText="0"/>
    </xf>
    <xf borderId="6" fillId="0" fontId="11" numFmtId="0" xfId="0" applyAlignment="1" applyBorder="1" applyFont="1">
      <alignment horizontal="left" readingOrder="0" shrinkToFit="0" vertical="bottom" wrapText="0"/>
    </xf>
    <xf borderId="1" fillId="0" fontId="11" numFmtId="0" xfId="0" applyAlignment="1" applyBorder="1" applyFont="1">
      <alignment horizontal="left" readingOrder="0" vertical="bottom"/>
    </xf>
    <xf borderId="1" fillId="0" fontId="11" numFmtId="165" xfId="0" applyAlignment="1" applyBorder="1" applyFont="1" applyNumberFormat="1">
      <alignment horizontal="left" readingOrder="0" shrinkToFit="0" vertical="bottom" wrapText="0"/>
    </xf>
    <xf borderId="6" fillId="0" fontId="11" numFmtId="0" xfId="0" applyAlignment="1" applyBorder="1" applyFont="1">
      <alignment horizontal="left" readingOrder="0" shrinkToFit="0" wrapText="0"/>
    </xf>
    <xf borderId="1" fillId="8" fontId="11" numFmtId="0" xfId="0" applyAlignment="1" applyBorder="1" applyFont="1">
      <alignment horizontal="left" readingOrder="0" shrinkToFit="0" vertical="bottom" wrapText="0"/>
    </xf>
    <xf borderId="1" fillId="0" fontId="11" numFmtId="165" xfId="0" applyAlignment="1" applyBorder="1" applyFont="1" applyNumberFormat="1">
      <alignment horizontal="left" readingOrder="0" shrinkToFit="0" wrapText="0"/>
    </xf>
    <xf borderId="1" fillId="0" fontId="8" numFmtId="0" xfId="0" applyAlignment="1" applyBorder="1" applyFont="1">
      <alignment horizontal="left" shrinkToFit="0" wrapText="0"/>
    </xf>
    <xf borderId="6" fillId="8" fontId="8" numFmtId="0" xfId="0" applyAlignment="1" applyBorder="1" applyFont="1">
      <alignment horizontal="left" readingOrder="0" shrinkToFit="0" vertical="bottom" wrapText="0"/>
    </xf>
    <xf borderId="1" fillId="8" fontId="8" numFmtId="0" xfId="0" applyAlignment="1" applyBorder="1" applyFont="1">
      <alignment horizontal="left" readingOrder="0" vertical="bottom"/>
    </xf>
    <xf borderId="1" fillId="8" fontId="8" numFmtId="165" xfId="0" applyAlignment="1" applyBorder="1" applyFont="1" applyNumberFormat="1">
      <alignment horizontal="left" readingOrder="0" shrinkToFit="0" vertical="bottom" wrapText="0"/>
    </xf>
    <xf borderId="1" fillId="0" fontId="8" numFmtId="165" xfId="0" applyAlignment="1" applyBorder="1" applyFont="1" applyNumberFormat="1">
      <alignment horizontal="left" readingOrder="0"/>
    </xf>
    <xf borderId="1" fillId="0" fontId="8" numFmtId="0" xfId="0" applyAlignment="1" applyBorder="1" applyFont="1">
      <alignment readingOrder="0" shrinkToFit="0" vertical="bottom" wrapText="0"/>
    </xf>
    <xf borderId="6" fillId="8" fontId="8" numFmtId="0" xfId="0" applyAlignment="1" applyBorder="1" applyFont="1">
      <alignment horizontal="left" readingOrder="0" shrinkToFit="0" wrapText="0"/>
    </xf>
    <xf borderId="1" fillId="8" fontId="8" numFmtId="0" xfId="0" applyAlignment="1" applyBorder="1" applyFont="1">
      <alignment horizontal="left" readingOrder="0"/>
    </xf>
    <xf borderId="1" fillId="8" fontId="8" numFmtId="165" xfId="0" applyAlignment="1" applyBorder="1" applyFont="1" applyNumberFormat="1">
      <alignment horizontal="left" readingOrder="0" shrinkToFit="0" wrapText="0"/>
    </xf>
    <xf borderId="6" fillId="0" fontId="8" numFmtId="0" xfId="0" applyAlignment="1" applyBorder="1" applyFont="1">
      <alignment readingOrder="0" shrinkToFit="0" vertical="bottom" wrapText="0"/>
    </xf>
    <xf borderId="1" fillId="8" fontId="8" numFmtId="0" xfId="0" applyAlignment="1" applyBorder="1" applyFont="1">
      <alignment readingOrder="0" shrinkToFit="0" vertical="bottom" wrapText="0"/>
    </xf>
    <xf borderId="1" fillId="0" fontId="8" numFmtId="0" xfId="0" applyAlignment="1" applyBorder="1" applyFont="1">
      <alignment shrinkToFit="0" vertical="bottom" wrapText="0"/>
    </xf>
    <xf borderId="1" fillId="0" fontId="13" numFmtId="0" xfId="0" applyAlignment="1" applyBorder="1" applyFont="1">
      <alignment horizontal="left" readingOrder="0" shrinkToFit="0" vertical="bottom" wrapText="0"/>
    </xf>
    <xf borderId="6" fillId="0" fontId="13" numFmtId="0" xfId="0" applyAlignment="1" applyBorder="1" applyFont="1">
      <alignment horizontal="left" shrinkToFit="0" vertical="bottom" wrapText="0"/>
    </xf>
    <xf borderId="1" fillId="0" fontId="13" numFmtId="0" xfId="0" applyAlignment="1" applyBorder="1" applyFont="1">
      <alignment horizontal="left" vertical="bottom"/>
    </xf>
    <xf borderId="1" fillId="0" fontId="13" numFmtId="165" xfId="0" applyAlignment="1" applyBorder="1" applyFont="1" applyNumberFormat="1">
      <alignment horizontal="left" readingOrder="0" shrinkToFit="0" vertical="bottom" wrapText="0"/>
    </xf>
    <xf borderId="1" fillId="0" fontId="13" numFmtId="0" xfId="0" applyAlignment="1" applyBorder="1" applyFont="1">
      <alignment horizontal="left" shrinkToFit="0" vertical="bottom" wrapText="0"/>
    </xf>
    <xf borderId="1" fillId="8" fontId="13" numFmtId="0" xfId="0" applyAlignment="1" applyBorder="1" applyFont="1">
      <alignment horizontal="left" shrinkToFit="0" wrapText="0"/>
    </xf>
    <xf borderId="1" fillId="0" fontId="13" numFmtId="0" xfId="0" applyAlignment="1" applyBorder="1" applyFont="1">
      <alignment readingOrder="0" shrinkToFit="0" vertical="bottom" wrapText="0"/>
    </xf>
    <xf borderId="1" fillId="0" fontId="10" numFmtId="0" xfId="0" applyAlignment="1" applyBorder="1" applyFont="1">
      <alignment horizontal="left" readingOrder="0" shrinkToFit="0" vertical="bottom" wrapText="0"/>
    </xf>
    <xf borderId="6" fillId="0" fontId="10" numFmtId="0" xfId="0" applyAlignment="1" applyBorder="1" applyFont="1">
      <alignment horizontal="left" readingOrder="0" shrinkToFit="0" vertical="bottom" wrapText="0"/>
    </xf>
    <xf borderId="1" fillId="0" fontId="10" numFmtId="0" xfId="0" applyAlignment="1" applyBorder="1" applyFont="1">
      <alignment horizontal="left" readingOrder="0" vertical="bottom"/>
    </xf>
    <xf borderId="1" fillId="0" fontId="10" numFmtId="165" xfId="0" applyAlignment="1" applyBorder="1" applyFont="1" applyNumberFormat="1">
      <alignment horizontal="left" readingOrder="0" shrinkToFit="0" vertical="bottom" wrapText="0"/>
    </xf>
    <xf borderId="1" fillId="8" fontId="10" numFmtId="0" xfId="0" applyAlignment="1" applyBorder="1" applyFont="1">
      <alignment horizontal="left" readingOrder="0" shrinkToFit="0" vertical="bottom" wrapText="0"/>
    </xf>
    <xf borderId="1" fillId="8" fontId="8" numFmtId="0" xfId="0" applyAlignment="1" applyBorder="1" applyFont="1">
      <alignment horizontal="left" shrinkToFit="0" vertical="bottom" wrapText="0"/>
    </xf>
    <xf borderId="1" fillId="0" fontId="12" numFmtId="0" xfId="0" applyAlignment="1" applyBorder="1" applyFont="1">
      <alignment horizontal="left" readingOrder="0" shrinkToFit="0" wrapText="0"/>
    </xf>
    <xf borderId="1" fillId="0" fontId="8" numFmtId="0" xfId="0" applyAlignment="1" applyBorder="1" applyFont="1">
      <alignment readingOrder="0" vertical="bottom"/>
    </xf>
    <xf borderId="6" fillId="8" fontId="10" numFmtId="0" xfId="0" applyAlignment="1" applyBorder="1" applyFont="1">
      <alignment horizontal="left" readingOrder="0" shrinkToFit="0" vertical="bottom" wrapText="0"/>
    </xf>
    <xf borderId="1" fillId="8" fontId="10" numFmtId="0" xfId="0" applyAlignment="1" applyBorder="1" applyFont="1">
      <alignment horizontal="left" readingOrder="0" vertical="bottom"/>
    </xf>
    <xf borderId="1" fillId="8" fontId="10" numFmtId="165" xfId="0" applyAlignment="1" applyBorder="1" applyFont="1" applyNumberFormat="1">
      <alignment horizontal="left" readingOrder="0" shrinkToFit="0" vertical="bottom" wrapText="0"/>
    </xf>
    <xf borderId="1" fillId="9" fontId="8" numFmtId="0" xfId="0" applyAlignment="1" applyBorder="1" applyFill="1" applyFont="1">
      <alignment horizontal="left" readingOrder="0" shrinkToFit="0" vertical="bottom" wrapText="0"/>
    </xf>
    <xf borderId="6" fillId="9" fontId="8" numFmtId="0" xfId="0" applyAlignment="1" applyBorder="1" applyFont="1">
      <alignment horizontal="left" readingOrder="0" shrinkToFit="0" wrapText="0"/>
    </xf>
    <xf borderId="1" fillId="9" fontId="8" numFmtId="0" xfId="0" applyAlignment="1" applyBorder="1" applyFont="1">
      <alignment horizontal="left" readingOrder="0"/>
    </xf>
    <xf borderId="1" fillId="9" fontId="8" numFmtId="0" xfId="0" applyAlignment="1" applyBorder="1" applyFont="1">
      <alignment horizontal="left" readingOrder="0" shrinkToFit="0" wrapText="0"/>
    </xf>
    <xf borderId="1" fillId="9" fontId="8" numFmtId="165" xfId="0" applyAlignment="1" applyBorder="1" applyFont="1" applyNumberFormat="1">
      <alignment horizontal="left" readingOrder="0" shrinkToFit="0" wrapText="0"/>
    </xf>
    <xf borderId="1" fillId="10" fontId="8" numFmtId="0" xfId="0" applyAlignment="1" applyBorder="1" applyFill="1" applyFont="1">
      <alignment horizontal="left" readingOrder="0" shrinkToFit="0" vertical="bottom" wrapText="0"/>
    </xf>
    <xf borderId="6" fillId="10" fontId="8" numFmtId="0" xfId="0" applyAlignment="1" applyBorder="1" applyFont="1">
      <alignment horizontal="left" readingOrder="0" shrinkToFit="0" vertical="bottom" wrapText="0"/>
    </xf>
    <xf borderId="1" fillId="10" fontId="8" numFmtId="0" xfId="0" applyAlignment="1" applyBorder="1" applyFont="1">
      <alignment horizontal="left" readingOrder="0" vertical="bottom"/>
    </xf>
    <xf borderId="1" fillId="10" fontId="8" numFmtId="165" xfId="0" applyAlignment="1" applyBorder="1" applyFont="1" applyNumberFormat="1">
      <alignment horizontal="left" readingOrder="0" shrinkToFit="0" vertical="bottom" wrapText="0"/>
    </xf>
    <xf borderId="1" fillId="10" fontId="8" numFmtId="0" xfId="0" applyAlignment="1" applyBorder="1" applyFont="1">
      <alignment horizontal="left" readingOrder="0" shrinkToFit="0" wrapText="0"/>
    </xf>
    <xf borderId="1" fillId="10" fontId="12" numFmtId="0" xfId="0" applyAlignment="1" applyBorder="1" applyFont="1">
      <alignment horizontal="left" readingOrder="0" shrinkToFit="0" wrapText="0"/>
    </xf>
    <xf borderId="7" fillId="0" fontId="8" numFmtId="0" xfId="0" applyAlignment="1" applyBorder="1" applyFont="1">
      <alignment horizontal="left" readingOrder="0" shrinkToFit="0" vertical="bottom" wrapText="0"/>
    </xf>
    <xf borderId="1" fillId="0" fontId="8" numFmtId="0" xfId="0" applyAlignment="1" applyBorder="1" applyFont="1">
      <alignment horizontal="left" readingOrder="0" shrinkToFit="0" vertical="top" wrapText="0"/>
    </xf>
    <xf borderId="0" fillId="8" fontId="8" numFmtId="0" xfId="0" applyAlignment="1" applyFont="1">
      <alignment readingOrder="0" shrinkToFit="0" vertical="bottom" wrapText="0"/>
    </xf>
    <xf borderId="0" fillId="8" fontId="8" numFmtId="0" xfId="0" applyAlignment="1" applyFont="1">
      <alignment readingOrder="0" vertical="bottom"/>
    </xf>
    <xf borderId="0" fillId="0" fontId="8" numFmtId="0" xfId="0" applyAlignment="1" applyFont="1">
      <alignment readingOrder="0" vertical="bottom"/>
    </xf>
    <xf borderId="0" fillId="0" fontId="8" numFmtId="165" xfId="0" applyAlignment="1" applyFont="1" applyNumberFormat="1">
      <alignment horizontal="left" readingOrder="0" shrinkToFit="0" vertical="top" wrapText="0"/>
    </xf>
    <xf borderId="6" fillId="0" fontId="10" numFmtId="0" xfId="0" applyAlignment="1" applyBorder="1" applyFont="1">
      <alignment readingOrder="0" shrinkToFit="0" vertical="bottom" wrapText="0"/>
    </xf>
    <xf borderId="1" fillId="8" fontId="11" numFmtId="165" xfId="0" applyAlignment="1" applyBorder="1" applyFont="1" applyNumberFormat="1">
      <alignment horizontal="left" readingOrder="0" shrinkToFit="0" vertical="bottom" wrapText="0"/>
    </xf>
    <xf borderId="1" fillId="0" fontId="10" numFmtId="0" xfId="0" applyAlignment="1" applyBorder="1" applyFont="1">
      <alignment readingOrder="0" vertical="bottom"/>
    </xf>
    <xf borderId="1" fillId="0" fontId="10" numFmtId="0" xfId="0" applyAlignment="1" applyBorder="1" applyFont="1">
      <alignment readingOrder="0" shrinkToFit="0" vertical="bottom" wrapText="0"/>
    </xf>
    <xf borderId="6" fillId="0" fontId="11" numFmtId="0" xfId="0" applyAlignment="1" applyBorder="1" applyFont="1">
      <alignment readingOrder="0" shrinkToFit="0" vertical="bottom" wrapText="0"/>
    </xf>
    <xf borderId="1" fillId="0" fontId="11" numFmtId="0" xfId="0" applyAlignment="1" applyBorder="1" applyFont="1">
      <alignment readingOrder="0" vertical="bottom"/>
    </xf>
    <xf borderId="1" fillId="0" fontId="11" numFmtId="0" xfId="0" applyAlignment="1" applyBorder="1" applyFont="1">
      <alignment readingOrder="0" shrinkToFit="0" vertical="bottom" wrapText="0"/>
    </xf>
    <xf borderId="1" fillId="0" fontId="14" numFmtId="0" xfId="0" applyAlignment="1" applyBorder="1" applyFont="1">
      <alignment horizontal="left" readingOrder="0" vertical="top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7.43"/>
    <col customWidth="1" min="2" max="2" width="24.14"/>
    <col customWidth="1" min="3" max="3" width="45.86"/>
    <col customWidth="1" min="4" max="4" width="44.29"/>
    <col customWidth="1" min="5" max="5" width="33.14"/>
    <col customWidth="1" min="6" max="7" width="29.71"/>
    <col customWidth="1" min="8" max="8" width="31.0"/>
    <col customWidth="1" min="9" max="9" width="14.86"/>
    <col customWidth="1" min="10" max="10" width="15.29"/>
    <col customWidth="1" min="11" max="11" width="29.71"/>
    <col customWidth="1" min="12" max="12" width="10.43"/>
    <col customWidth="1" min="13" max="29" width="8.71"/>
  </cols>
  <sheetData>
    <row r="1" ht="26.25" customHeight="1">
      <c r="A1" s="1" t="s">
        <v>0</v>
      </c>
      <c r="B1" s="2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2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</row>
    <row r="2" ht="21.0" customHeight="1">
      <c r="A2" s="4">
        <v>1.0</v>
      </c>
      <c r="B2" s="4">
        <v>1252411.0</v>
      </c>
      <c r="C2" s="5">
        <v>46070.3125</v>
      </c>
      <c r="D2" s="5">
        <v>46070.520833333336</v>
      </c>
      <c r="E2" s="4" t="str">
        <f t="array" ref="E2">IF(B2="","",XLOOKUP($B2,Sheet2!$I:$I,Sheet2!$T:$T,""))</f>
        <v/>
      </c>
      <c r="F2" s="4" t="str">
        <f t="array" ref="F2">IF($B2="","",XLOOKUP($B2,Sheet2!$I:$I,Sheet2!$E:$E,""))</f>
        <v/>
      </c>
      <c r="G2" s="4" t="str">
        <f t="array" ref="G2">IF($B2="","",XLOOKUP($B2,Sheet2!$I:$I,Sheet2!$C:$C,""))</f>
        <v/>
      </c>
      <c r="H2" s="4" t="s">
        <v>11</v>
      </c>
      <c r="I2" s="4">
        <v>69.0</v>
      </c>
      <c r="J2" s="4">
        <v>100.0</v>
      </c>
      <c r="K2" s="4" t="s">
        <v>12</v>
      </c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</row>
    <row r="3" ht="21.0" customHeight="1">
      <c r="A3" s="4">
        <v>2.0</v>
      </c>
      <c r="B3" s="4">
        <v>906994.0</v>
      </c>
      <c r="C3" s="5">
        <v>46075.3125</v>
      </c>
      <c r="D3" s="5">
        <v>46075.604166666664</v>
      </c>
      <c r="E3" s="4" t="str">
        <f t="array" ref="E3">IF(B3="","",XLOOKUP($B3,Sheet2!$I:$I,Sheet2!$T:$T,""))</f>
        <v/>
      </c>
      <c r="F3" s="4" t="str">
        <f t="array" ref="F3">IF($B3="","",XLOOKUP($B3,Sheet2!$I:$I,Sheet2!$E:$E,""))</f>
        <v/>
      </c>
      <c r="G3" s="4" t="str">
        <f t="array" ref="G3">IF($B3="","",XLOOKUP($B3,Sheet2!$I:$I,Sheet2!$C:$C,""))</f>
        <v/>
      </c>
      <c r="H3" s="4" t="s">
        <v>13</v>
      </c>
      <c r="I3" s="4">
        <v>51.0</v>
      </c>
      <c r="J3" s="4">
        <v>720.0</v>
      </c>
      <c r="K3" s="4" t="s">
        <v>14</v>
      </c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</row>
    <row r="4" ht="21.0" customHeight="1">
      <c r="A4" s="4">
        <v>3.0</v>
      </c>
      <c r="B4" s="4">
        <v>1413363.0</v>
      </c>
      <c r="C4" s="5">
        <v>46075.3125</v>
      </c>
      <c r="D4" s="5">
        <v>46075.604166666664</v>
      </c>
      <c r="E4" s="4" t="str">
        <f t="array" ref="E4">IF(B4="","",XLOOKUP($B4,Sheet2!$I:$I,Sheet2!$T:$T,""))</f>
        <v/>
      </c>
      <c r="F4" s="4" t="str">
        <f t="array" ref="F4">IF($B4="","",XLOOKUP($B4,Sheet2!$I:$I,Sheet2!$E:$E,""))</f>
        <v/>
      </c>
      <c r="G4" s="4" t="str">
        <f t="array" ref="G4">IF($B4="","",XLOOKUP($B4,Sheet2!$I:$I,Sheet2!$C:$C,""))</f>
        <v/>
      </c>
      <c r="H4" s="4" t="s">
        <v>13</v>
      </c>
      <c r="I4" s="4">
        <v>51.0</v>
      </c>
      <c r="J4" s="4">
        <v>720.0</v>
      </c>
      <c r="K4" s="4" t="s">
        <v>15</v>
      </c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</row>
    <row r="5" ht="21.0" customHeight="1">
      <c r="A5" s="4">
        <v>4.0</v>
      </c>
      <c r="B5" s="4">
        <v>1407987.0</v>
      </c>
      <c r="C5" s="5">
        <v>46076.3125</v>
      </c>
      <c r="D5" s="5">
        <v>46076.604166666664</v>
      </c>
      <c r="E5" s="4" t="str">
        <f t="array" ref="E5">IF(B5="","",XLOOKUP($B5,Sheet2!$I:$I,Sheet2!$T:$T,""))</f>
        <v/>
      </c>
      <c r="F5" s="4" t="str">
        <f t="array" ref="F5">IF($B5="","",XLOOKUP($B5,Sheet2!$I:$I,Sheet2!$E:$E,""))</f>
        <v/>
      </c>
      <c r="G5" s="4" t="str">
        <f t="array" ref="G5">IF($B5="","",XLOOKUP($B5,Sheet2!$I:$I,Sheet2!$C:$C,""))</f>
        <v/>
      </c>
      <c r="H5" s="4" t="s">
        <v>16</v>
      </c>
      <c r="I5" s="4">
        <v>57.0</v>
      </c>
      <c r="J5" s="4">
        <v>38.0</v>
      </c>
      <c r="K5" s="4" t="s">
        <v>17</v>
      </c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</row>
    <row r="6" ht="21.0" customHeight="1">
      <c r="A6" s="4">
        <v>5.0</v>
      </c>
      <c r="B6" s="4">
        <v>907085.0</v>
      </c>
      <c r="C6" s="5">
        <v>46076.3125</v>
      </c>
      <c r="D6" s="5">
        <v>46076.604166666664</v>
      </c>
      <c r="E6" s="4" t="str">
        <f t="array" ref="E6">IF(B6="","",XLOOKUP($B6,Sheet2!$I:$I,Sheet2!$T:$T,""))</f>
        <v/>
      </c>
      <c r="F6" s="4" t="str">
        <f t="array" ref="F6">IF($B6="","",XLOOKUP($B6,Sheet2!$I:$I,Sheet2!$E:$E,""))</f>
        <v/>
      </c>
      <c r="G6" s="4" t="str">
        <f t="array" ref="G6">IF($B6="","",XLOOKUP($B6,Sheet2!$I:$I,Sheet2!$C:$C,""))</f>
        <v/>
      </c>
      <c r="H6" s="4" t="s">
        <v>18</v>
      </c>
      <c r="I6" s="4">
        <v>70.0</v>
      </c>
      <c r="J6" s="4">
        <v>970.0</v>
      </c>
      <c r="K6" s="4" t="s">
        <v>19</v>
      </c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</row>
    <row r="7" ht="21.0" customHeight="1">
      <c r="A7" s="4">
        <v>6.0</v>
      </c>
      <c r="B7" s="4">
        <v>1284934.0</v>
      </c>
      <c r="C7" s="5">
        <v>46079.375</v>
      </c>
      <c r="D7" s="5">
        <v>46079.458333333336</v>
      </c>
      <c r="E7" s="4" t="str">
        <f t="array" ref="E7">IF(B7="","",XLOOKUP($B7,Sheet2!$I:$I,Sheet2!$T:$T,""))</f>
        <v/>
      </c>
      <c r="F7" s="4" t="str">
        <f t="array" ref="F7">IF($B7="","",XLOOKUP($B7,Sheet2!$I:$I,Sheet2!$E:$E,""))</f>
        <v/>
      </c>
      <c r="G7" s="4" t="str">
        <f t="array" ref="G7">IF($B7="","",XLOOKUP($B7,Sheet2!$I:$I,Sheet2!$C:$C,""))</f>
        <v/>
      </c>
      <c r="H7" s="4" t="s">
        <v>18</v>
      </c>
      <c r="I7" s="4">
        <v>70.0</v>
      </c>
      <c r="J7" s="4">
        <v>879.0</v>
      </c>
      <c r="K7" s="4" t="s">
        <v>20</v>
      </c>
      <c r="L7" s="6" t="s">
        <v>21</v>
      </c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</row>
    <row r="8" ht="21.0" customHeight="1">
      <c r="A8" s="4">
        <v>7.0</v>
      </c>
      <c r="B8" s="4">
        <v>1364567.0</v>
      </c>
      <c r="C8" s="5">
        <v>46097.333333333336</v>
      </c>
      <c r="D8" s="5">
        <v>46097.416666666664</v>
      </c>
      <c r="E8" s="4" t="str">
        <f t="array" ref="E8">IF(B8="","",XLOOKUP($B8,Sheet2!$I:$I,Sheet2!$T:$T,""))</f>
        <v/>
      </c>
      <c r="F8" s="4" t="str">
        <f t="array" ref="F8">IF($B8="","",XLOOKUP($B8,Sheet2!$I:$I,Sheet2!$E:$E,""))</f>
        <v/>
      </c>
      <c r="G8" s="4" t="str">
        <f t="array" ref="G8">IF($B8="","",XLOOKUP($B8,Sheet2!$I:$I,Sheet2!$C:$C,""))</f>
        <v/>
      </c>
      <c r="H8" s="4" t="s">
        <v>13</v>
      </c>
      <c r="I8" s="4">
        <v>51.0</v>
      </c>
      <c r="J8" s="4">
        <v>1298.0</v>
      </c>
      <c r="K8" s="4" t="s">
        <v>22</v>
      </c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</row>
    <row r="9" ht="21.0" customHeight="1">
      <c r="A9" s="4">
        <v>8.0</v>
      </c>
      <c r="B9" s="4">
        <v>1356764.0</v>
      </c>
      <c r="C9" s="5">
        <v>46095.40625</v>
      </c>
      <c r="D9" s="5">
        <v>46095.427083333336</v>
      </c>
      <c r="E9" s="4" t="str">
        <f t="array" ref="E9">IF(B9="","",XLOOKUP($B9,Sheet2!$I:$I,Sheet2!$T:$T,""))</f>
        <v/>
      </c>
      <c r="F9" s="4" t="str">
        <f t="array" ref="F9">IF($B9="","",XLOOKUP($B9,Sheet2!$I:$I,Sheet2!$E:$E,""))</f>
        <v/>
      </c>
      <c r="G9" s="4" t="str">
        <f t="array" ref="G9">IF($B9="","",XLOOKUP($B9,Sheet2!$I:$I,Sheet2!$C:$C,""))</f>
        <v/>
      </c>
      <c r="H9" s="4" t="s">
        <v>23</v>
      </c>
      <c r="I9" s="4">
        <v>32.0</v>
      </c>
      <c r="J9" s="4">
        <v>370.0</v>
      </c>
      <c r="K9" s="4" t="s">
        <v>24</v>
      </c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</row>
    <row r="10" ht="21.0" customHeight="1">
      <c r="A10" s="4">
        <v>9.0</v>
      </c>
      <c r="B10" s="4">
        <v>1088219.0</v>
      </c>
      <c r="C10" s="5">
        <v>46107.270833333336</v>
      </c>
      <c r="D10" s="5">
        <v>46107.604166666664</v>
      </c>
      <c r="E10" s="4" t="str">
        <f t="array" ref="E10">IF(B10="","",XLOOKUP($B10,Sheet2!$I:$I,Sheet2!$T:$T,""))</f>
        <v/>
      </c>
      <c r="F10" s="4" t="str">
        <f t="array" ref="F10">IF($B10="","",XLOOKUP($B10,Sheet2!$I:$I,Sheet2!$E:$E,""))</f>
        <v/>
      </c>
      <c r="G10" s="4" t="str">
        <f t="array" ref="G10">IF($B10="","",XLOOKUP($B10,Sheet2!$I:$I,Sheet2!$C:$C,""))</f>
        <v/>
      </c>
      <c r="H10" s="4" t="s">
        <v>25</v>
      </c>
      <c r="I10" s="4">
        <v>66.0</v>
      </c>
      <c r="J10" s="4">
        <v>18.0</v>
      </c>
      <c r="K10" s="4" t="s">
        <v>26</v>
      </c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</row>
    <row r="11" ht="21.0" customHeight="1">
      <c r="A11" s="4">
        <v>10.0</v>
      </c>
      <c r="B11" s="4">
        <v>1387118.0</v>
      </c>
      <c r="C11" s="5">
        <v>46107.291666666664</v>
      </c>
      <c r="D11" s="5">
        <v>46107.458333333336</v>
      </c>
      <c r="E11" s="4" t="str">
        <f t="array" ref="E11">IF(B11="","",XLOOKUP($B11,Sheet2!$I:$I,Sheet2!$T:$T,""))</f>
        <v/>
      </c>
      <c r="F11" s="4" t="str">
        <f t="array" ref="F11">IF($B11="","",XLOOKUP($B11,Sheet2!$I:$I,Sheet2!$E:$E,""))</f>
        <v/>
      </c>
      <c r="G11" s="4" t="str">
        <f t="array" ref="G11">IF($B11="","",XLOOKUP($B11,Sheet2!$I:$I,Sheet2!$C:$C,""))</f>
        <v/>
      </c>
      <c r="H11" s="4" t="s">
        <v>27</v>
      </c>
      <c r="I11" s="4">
        <v>71.0</v>
      </c>
      <c r="J11" s="4">
        <v>39.0</v>
      </c>
      <c r="K11" s="4" t="s">
        <v>28</v>
      </c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</row>
    <row r="12" ht="21.0" customHeight="1">
      <c r="A12" s="4">
        <v>11.0</v>
      </c>
      <c r="B12" s="4">
        <v>1353295.0</v>
      </c>
      <c r="C12" s="5">
        <v>46107.270833333336</v>
      </c>
      <c r="D12" s="5">
        <v>46107.583333333336</v>
      </c>
      <c r="E12" s="4" t="str">
        <f t="array" ref="E12">IF(B12="","",XLOOKUP($B12,Sheet2!$I:$I,Sheet2!$T:$T,""))</f>
        <v/>
      </c>
      <c r="F12" s="4" t="str">
        <f t="array" ref="F12">IF($B12="","",XLOOKUP($B12,Sheet2!$I:$I,Sheet2!$E:$E,""))</f>
        <v/>
      </c>
      <c r="G12" s="4" t="str">
        <f t="array" ref="G12">IF($B12="","",XLOOKUP($B12,Sheet2!$I:$I,Sheet2!$C:$C,""))</f>
        <v/>
      </c>
      <c r="H12" s="4" t="s">
        <v>29</v>
      </c>
      <c r="I12" s="4">
        <v>55.0</v>
      </c>
      <c r="J12" s="4">
        <v>509.0</v>
      </c>
      <c r="K12" s="4" t="s">
        <v>30</v>
      </c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</row>
    <row r="13" ht="21.0" customHeight="1">
      <c r="A13" s="4">
        <v>12.0</v>
      </c>
      <c r="B13" s="4">
        <v>1009761.0</v>
      </c>
      <c r="C13" s="5">
        <v>46107.270833333336</v>
      </c>
      <c r="D13" s="5">
        <v>46107.583333333336</v>
      </c>
      <c r="E13" s="4" t="str">
        <f t="array" ref="E13">IF(B13="","",XLOOKUP($B13,Sheet2!$I:$I,Sheet2!$T:$T,""))</f>
        <v/>
      </c>
      <c r="F13" s="4" t="str">
        <f t="array" ref="F13">IF($B13="","",XLOOKUP($B13,Sheet2!$I:$I,Sheet2!$E:$E,""))</f>
        <v/>
      </c>
      <c r="G13" s="4" t="str">
        <f t="array" ref="G13">IF($B13="","",XLOOKUP($B13,Sheet2!$I:$I,Sheet2!$C:$C,""))</f>
        <v/>
      </c>
      <c r="H13" s="4" t="s">
        <v>16</v>
      </c>
      <c r="I13" s="4">
        <v>57.0</v>
      </c>
      <c r="J13" s="4">
        <v>1.0</v>
      </c>
      <c r="K13" s="4" t="s">
        <v>31</v>
      </c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</row>
    <row r="14" ht="21.0" customHeight="1">
      <c r="A14" s="4">
        <v>13.0</v>
      </c>
      <c r="B14" s="4">
        <v>1393575.0</v>
      </c>
      <c r="C14" s="5">
        <v>46107.291666666664</v>
      </c>
      <c r="D14" s="5">
        <v>46107.458333333336</v>
      </c>
      <c r="E14" s="4" t="str">
        <f t="array" ref="E14">IF(B14="","",XLOOKUP($B14,Sheet2!$I:$I,Sheet2!$T:$T,""))</f>
        <v/>
      </c>
      <c r="F14" s="4" t="str">
        <f t="array" ref="F14">IF($B14="","",XLOOKUP($B14,Sheet2!$I:$I,Sheet2!$E:$E,""))</f>
        <v/>
      </c>
      <c r="G14" s="4" t="str">
        <f t="array" ref="G14">IF($B14="","",XLOOKUP($B14,Sheet2!$I:$I,Sheet2!$C:$C,""))</f>
        <v/>
      </c>
      <c r="H14" s="4" t="s">
        <v>32</v>
      </c>
      <c r="I14" s="4">
        <v>91.0</v>
      </c>
      <c r="J14" s="4">
        <v>212.0</v>
      </c>
      <c r="K14" s="4" t="s">
        <v>33</v>
      </c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</row>
    <row r="15" ht="21.0" customHeight="1">
      <c r="A15" s="4">
        <v>14.0</v>
      </c>
      <c r="B15" s="4">
        <v>1391140.0</v>
      </c>
      <c r="C15" s="5">
        <v>46107.291666666664</v>
      </c>
      <c r="D15" s="5">
        <v>46107.458333333336</v>
      </c>
      <c r="E15" s="4" t="str">
        <f t="array" ref="E15">IF(B15="","",XLOOKUP($B15,Sheet2!$I:$I,Sheet2!$T:$T,""))</f>
        <v/>
      </c>
      <c r="F15" s="4" t="str">
        <f t="array" ref="F15">IF($B15="","",XLOOKUP($B15,Sheet2!$I:$I,Sheet2!$E:$E,""))</f>
        <v/>
      </c>
      <c r="G15" s="4" t="str">
        <f t="array" ref="G15">IF($B15="","",XLOOKUP($B15,Sheet2!$I:$I,Sheet2!$C:$C,""))</f>
        <v/>
      </c>
      <c r="H15" s="4" t="s">
        <v>32</v>
      </c>
      <c r="I15" s="4">
        <v>91.0</v>
      </c>
      <c r="J15" s="4">
        <v>212.0</v>
      </c>
      <c r="K15" s="4" t="s">
        <v>34</v>
      </c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</row>
    <row r="16" ht="21.0" customHeight="1">
      <c r="A16" s="4">
        <v>15.0</v>
      </c>
      <c r="B16" s="4">
        <v>1395103.0</v>
      </c>
      <c r="C16" s="5">
        <v>46107.270833333336</v>
      </c>
      <c r="D16" s="5">
        <v>46107.583333333336</v>
      </c>
      <c r="E16" s="4" t="str">
        <f t="array" ref="E16">IF(B16="","",XLOOKUP($B16,Sheet2!$I:$I,Sheet2!$T:$T,""))</f>
        <v/>
      </c>
      <c r="F16" s="4" t="str">
        <f t="array" ref="F16">IF($B16="","",XLOOKUP($B16,Sheet2!$I:$I,Sheet2!$E:$E,""))</f>
        <v/>
      </c>
      <c r="G16" s="4" t="str">
        <f t="array" ref="G16">IF($B16="","",XLOOKUP($B16,Sheet2!$I:$I,Sheet2!$C:$C,""))</f>
        <v/>
      </c>
      <c r="H16" s="4" t="s">
        <v>18</v>
      </c>
      <c r="I16" s="4">
        <v>70.0</v>
      </c>
      <c r="J16" s="4">
        <v>590.0</v>
      </c>
      <c r="K16" s="4" t="s">
        <v>35</v>
      </c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</row>
    <row r="17" ht="21.0" customHeight="1">
      <c r="A17" s="4">
        <v>16.0</v>
      </c>
      <c r="B17" s="4">
        <v>1365673.0</v>
      </c>
      <c r="C17" s="5">
        <v>46105.53888888889</v>
      </c>
      <c r="D17" s="5">
        <v>46105.53888888889</v>
      </c>
      <c r="E17" s="4" t="str">
        <f t="array" ref="E17">IF(B17="","",XLOOKUP($B17,Sheet2!$I:$I,Sheet2!$T:$T,""))</f>
        <v/>
      </c>
      <c r="F17" s="4" t="str">
        <f t="array" ref="F17">IF($B17="","",XLOOKUP($B17,Sheet2!$I:$I,Sheet2!$E:$E,""))</f>
        <v/>
      </c>
      <c r="G17" s="4"/>
      <c r="H17" s="4" t="s">
        <v>36</v>
      </c>
      <c r="I17" s="4">
        <v>39.0</v>
      </c>
      <c r="J17" s="4">
        <v>231.0</v>
      </c>
      <c r="K17" s="4" t="s">
        <v>37</v>
      </c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</row>
    <row r="18" ht="21.0" customHeight="1">
      <c r="A18" s="4">
        <v>17.0</v>
      </c>
      <c r="B18" s="4">
        <v>1273538.0</v>
      </c>
      <c r="C18" s="5">
        <v>46106.291666666664</v>
      </c>
      <c r="D18" s="5">
        <v>46106.5</v>
      </c>
      <c r="E18" s="4" t="str">
        <f t="array" ref="E18">IF(B18="","",XLOOKUP($B18,Sheet2!$I:$I,Sheet2!$T:$T,""))</f>
        <v/>
      </c>
      <c r="F18" s="4" t="str">
        <f t="array" ref="F18">IF($B18="","",XLOOKUP($B18,Sheet2!$I:$I,Sheet2!$E:$E,""))</f>
        <v/>
      </c>
      <c r="G18" s="4" t="str">
        <f t="array" ref="G18">IF($B18="","",XLOOKUP($B18,Sheet2!$I:$I,Sheet2!$C:$C,""))</f>
        <v/>
      </c>
      <c r="H18" s="4" t="s">
        <v>32</v>
      </c>
      <c r="I18" s="4">
        <v>91.0</v>
      </c>
      <c r="J18" s="4">
        <v>100.0</v>
      </c>
      <c r="K18" s="4" t="s">
        <v>38</v>
      </c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</row>
    <row r="19" ht="21.0" customHeight="1">
      <c r="A19" s="4">
        <v>18.0</v>
      </c>
      <c r="B19" s="4">
        <v>1353727.0</v>
      </c>
      <c r="C19" s="5">
        <v>46106.291666666664</v>
      </c>
      <c r="D19" s="5">
        <v>46106.583333333336</v>
      </c>
      <c r="E19" s="4" t="str">
        <f t="array" ref="E19">IF(B19="","",XLOOKUP($B19,Sheet2!$I:$I,Sheet2!$T:$T,""))</f>
        <v/>
      </c>
      <c r="F19" s="4" t="str">
        <f t="array" ref="F19">IF($B19="","",XLOOKUP($B19,Sheet2!$I:$I,Sheet2!$E:$E,""))</f>
        <v/>
      </c>
      <c r="G19" s="4" t="str">
        <f t="array" ref="G19">IF($B19="","",XLOOKUP($B19,Sheet2!$I:$I,Sheet2!$C:$C,""))</f>
        <v/>
      </c>
      <c r="H19" s="4" t="s">
        <v>39</v>
      </c>
      <c r="I19" s="4">
        <v>46.0</v>
      </c>
      <c r="J19" s="4">
        <v>800.0</v>
      </c>
      <c r="K19" s="4" t="s">
        <v>40</v>
      </c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</row>
    <row r="20" ht="21.0" customHeight="1">
      <c r="A20" s="4">
        <v>19.0</v>
      </c>
      <c r="B20" s="4">
        <v>1390152.0</v>
      </c>
      <c r="C20" s="5">
        <v>46106.416666666664</v>
      </c>
      <c r="D20" s="5">
        <v>46106.583333333336</v>
      </c>
      <c r="E20" s="4" t="str">
        <f t="array" ref="E20">IF(B20="","",XLOOKUP($B20,Sheet2!$I:$I,Sheet2!$T:$T,""))</f>
        <v/>
      </c>
      <c r="F20" s="4" t="str">
        <f t="array" ref="F20">IF($B20="","",XLOOKUP($B20,Sheet2!$I:$I,Sheet2!$E:$E,""))</f>
        <v/>
      </c>
      <c r="G20" s="4" t="str">
        <f t="array" ref="G20">IF($B20="","",XLOOKUP($B20,Sheet2!$I:$I,Sheet2!$C:$C,""))</f>
        <v/>
      </c>
      <c r="H20" s="4" t="s">
        <v>13</v>
      </c>
      <c r="I20" s="4">
        <v>51.0</v>
      </c>
      <c r="J20" s="4">
        <v>191.0</v>
      </c>
      <c r="K20" s="4" t="s">
        <v>41</v>
      </c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</row>
    <row r="21" ht="21.0" customHeight="1">
      <c r="A21" s="4">
        <v>20.0</v>
      </c>
      <c r="B21" s="4">
        <v>1354115.0</v>
      </c>
      <c r="C21" s="5">
        <v>46106.416666666664</v>
      </c>
      <c r="D21" s="5">
        <v>46106.583333333336</v>
      </c>
      <c r="E21" s="4" t="str">
        <f t="array" ref="E21">IF(B21="","",XLOOKUP($B21,Sheet2!$I:$I,Sheet2!$T:$T,""))</f>
        <v/>
      </c>
      <c r="F21" s="4" t="str">
        <f t="array" ref="F21">IF($B21="","",XLOOKUP($B21,Sheet2!$I:$I,Sheet2!$E:$E,""))</f>
        <v/>
      </c>
      <c r="G21" s="4" t="str">
        <f t="array" ref="G21">IF($B21="","",XLOOKUP($B21,Sheet2!$I:$I,Sheet2!$C:$C,""))</f>
        <v/>
      </c>
      <c r="H21" s="4" t="s">
        <v>42</v>
      </c>
      <c r="I21" s="4">
        <v>76.0</v>
      </c>
      <c r="J21" s="4">
        <v>818.0</v>
      </c>
      <c r="K21" s="4" t="s">
        <v>43</v>
      </c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</row>
    <row r="22" ht="21.0" customHeight="1">
      <c r="A22" s="4">
        <v>21.0</v>
      </c>
      <c r="B22" s="4">
        <v>1453309.0</v>
      </c>
      <c r="C22" s="5">
        <v>46106.291666666664</v>
      </c>
      <c r="D22" s="5">
        <v>46106.458333333336</v>
      </c>
      <c r="E22" s="4" t="str">
        <f t="array" ref="E22">IF(B22="","",XLOOKUP($B22,Sheet2!$I:$I,Sheet2!$T:$T,""))</f>
        <v/>
      </c>
      <c r="F22" s="4" t="str">
        <f t="array" ref="F22">IF($B22="","",XLOOKUP($B22,Sheet2!$I:$I,Sheet2!$E:$E,""))</f>
        <v/>
      </c>
      <c r="G22" s="4" t="str">
        <f t="array" ref="G22">IF($B22="","",XLOOKUP($B22,Sheet2!$I:$I,Sheet2!$C:$C,""))</f>
        <v/>
      </c>
      <c r="H22" s="4" t="s">
        <v>32</v>
      </c>
      <c r="I22" s="4">
        <v>91.0</v>
      </c>
      <c r="J22" s="4">
        <v>212.0</v>
      </c>
      <c r="K22" s="4" t="s">
        <v>44</v>
      </c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</row>
    <row r="23" ht="21.0" customHeight="1">
      <c r="A23" s="4">
        <v>22.0</v>
      </c>
      <c r="B23" s="4">
        <v>1413765.0</v>
      </c>
      <c r="C23" s="5">
        <v>46106.291666666664</v>
      </c>
      <c r="D23" s="5">
        <v>46106.458333333336</v>
      </c>
      <c r="E23" s="4" t="str">
        <f t="array" ref="E23">IF(B23="","",XLOOKUP($B23,Sheet2!$I:$I,Sheet2!$T:$T,""))</f>
        <v/>
      </c>
      <c r="F23" s="4" t="str">
        <f t="array" ref="F23">IF($B23="","",XLOOKUP($B23,Sheet2!$I:$I,Sheet2!$E:$E,""))</f>
        <v/>
      </c>
      <c r="G23" s="4" t="str">
        <f t="array" ref="G23">IF($B23="","",XLOOKUP($B23,Sheet2!$I:$I,Sheet2!$C:$C,""))</f>
        <v/>
      </c>
      <c r="H23" s="4" t="s">
        <v>32</v>
      </c>
      <c r="I23" s="4">
        <v>91.0</v>
      </c>
      <c r="J23" s="4">
        <v>212.0</v>
      </c>
      <c r="K23" s="4" t="s">
        <v>45</v>
      </c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</row>
    <row r="24" ht="21.0" customHeight="1">
      <c r="A24" s="4">
        <v>23.0</v>
      </c>
      <c r="B24" s="4">
        <v>1453310.0</v>
      </c>
      <c r="C24" s="5">
        <v>46106.291666666664</v>
      </c>
      <c r="D24" s="5">
        <v>46106.458333333336</v>
      </c>
      <c r="E24" s="4" t="str">
        <f t="array" ref="E24">IF(B24="","",XLOOKUP($B24,Sheet2!$I:$I,Sheet2!$T:$T,""))</f>
        <v/>
      </c>
      <c r="F24" s="4" t="str">
        <f t="array" ref="F24">IF($B24="","",XLOOKUP($B24,Sheet2!$I:$I,Sheet2!$E:$E,""))</f>
        <v/>
      </c>
      <c r="G24" s="4" t="str">
        <f t="array" ref="G24">IF($B24="","",XLOOKUP($B24,Sheet2!$I:$I,Sheet2!$C:$C,""))</f>
        <v/>
      </c>
      <c r="H24" s="4" t="s">
        <v>32</v>
      </c>
      <c r="I24" s="4">
        <v>91.0</v>
      </c>
      <c r="J24" s="4">
        <v>212.0</v>
      </c>
      <c r="K24" s="4" t="s">
        <v>46</v>
      </c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</row>
    <row r="25" ht="21.0" customHeight="1">
      <c r="A25" s="4">
        <v>24.0</v>
      </c>
      <c r="B25" s="4">
        <v>1413846.0</v>
      </c>
      <c r="C25" s="5">
        <v>46106.291666666664</v>
      </c>
      <c r="D25" s="5">
        <v>46106.458333333336</v>
      </c>
      <c r="E25" s="4" t="str">
        <f t="array" ref="E25">IF(B25="","",XLOOKUP($B25,Sheet2!$I:$I,Sheet2!$T:$T,""))</f>
        <v/>
      </c>
      <c r="F25" s="4" t="str">
        <f t="array" ref="F25">IF($B25="","",XLOOKUP($B25,Sheet2!$I:$I,Sheet2!$E:$E,""))</f>
        <v/>
      </c>
      <c r="G25" s="4" t="str">
        <f t="array" ref="G25">IF($B25="","",XLOOKUP($B25,Sheet2!$I:$I,Sheet2!$C:$C,""))</f>
        <v/>
      </c>
      <c r="H25" s="4" t="s">
        <v>25</v>
      </c>
      <c r="I25" s="4">
        <v>91.0</v>
      </c>
      <c r="J25" s="4">
        <v>212.0</v>
      </c>
      <c r="K25" s="4" t="s">
        <v>47</v>
      </c>
    </row>
    <row r="26" ht="21.0" customHeight="1">
      <c r="A26" s="4">
        <v>25.0</v>
      </c>
      <c r="B26" s="4">
        <v>1393425.0</v>
      </c>
      <c r="C26" s="5">
        <v>46106.270833333336</v>
      </c>
      <c r="D26" s="5">
        <v>46106.583333333336</v>
      </c>
      <c r="E26" s="4" t="str">
        <f t="array" ref="E26">IF(B26="","",XLOOKUP($B26,Sheet2!$I:$I,Sheet2!$T:$T,""))</f>
        <v/>
      </c>
      <c r="F26" s="4" t="str">
        <f t="array" ref="F26">IF($B26="","",XLOOKUP($B26,Sheet2!$I:$I,Sheet2!$E:$E,""))</f>
        <v/>
      </c>
      <c r="G26" s="4" t="str">
        <f t="array" ref="G26">IF($B26="","",XLOOKUP($B26,Sheet2!$I:$I,Sheet2!$C:$C,""))</f>
        <v/>
      </c>
      <c r="H26" s="4" t="s">
        <v>29</v>
      </c>
      <c r="I26" s="4">
        <v>55.0</v>
      </c>
      <c r="J26" s="4">
        <v>971.0</v>
      </c>
      <c r="K26" s="4" t="s">
        <v>48</v>
      </c>
    </row>
    <row r="27" ht="21.0" customHeight="1">
      <c r="A27" s="4">
        <v>26.0</v>
      </c>
      <c r="B27" s="4">
        <v>1391201.0</v>
      </c>
      <c r="C27" s="5">
        <v>46110.3125</v>
      </c>
      <c r="D27" s="5">
        <v>46110.604166666664</v>
      </c>
      <c r="E27" s="4" t="str">
        <f t="array" ref="E27">IF(B27="","",XLOOKUP($B27,Sheet2!$I:$I,Sheet2!$T:$T,""))</f>
        <v/>
      </c>
      <c r="F27" s="4" t="str">
        <f t="array" ref="F27">IF($B27="","",XLOOKUP($B27,Sheet2!$I:$I,Sheet2!$E:$E,""))</f>
        <v/>
      </c>
      <c r="G27" s="4" t="str">
        <f t="array" ref="G27">IF($B27="","",XLOOKUP($B27,Sheet2!$I:$I,Sheet2!$C:$C,""))</f>
        <v/>
      </c>
      <c r="H27" s="4" t="s">
        <v>16</v>
      </c>
      <c r="I27" s="4">
        <v>57.0</v>
      </c>
      <c r="J27" s="4">
        <v>115.0</v>
      </c>
      <c r="K27" s="4" t="s">
        <v>49</v>
      </c>
    </row>
    <row r="28" ht="21.0" customHeight="1">
      <c r="A28" s="4">
        <v>27.0</v>
      </c>
      <c r="B28" s="4">
        <v>1391271.0</v>
      </c>
      <c r="C28" s="5">
        <v>46110.291666666664</v>
      </c>
      <c r="D28" s="5">
        <v>46110.583333333336</v>
      </c>
      <c r="E28" s="4" t="str">
        <f t="array" ref="E28">IF(B28="","",XLOOKUP($B28,Sheet2!$I:$I,Sheet2!$T:$T,""))</f>
        <v/>
      </c>
      <c r="F28" s="4" t="str">
        <f t="array" ref="F28">IF($B28="","",XLOOKUP($B28,Sheet2!$I:$I,Sheet2!$E:$E,""))</f>
        <v/>
      </c>
      <c r="G28" s="4" t="str">
        <f t="array" ref="G28">IF($B28="","",XLOOKUP($B28,Sheet2!$I:$I,Sheet2!$C:$C,""))</f>
        <v/>
      </c>
      <c r="H28" s="4" t="s">
        <v>16</v>
      </c>
      <c r="I28" s="4">
        <v>57.0</v>
      </c>
      <c r="J28" s="4">
        <v>10.0</v>
      </c>
      <c r="K28" s="4" t="s">
        <v>50</v>
      </c>
    </row>
    <row r="29" ht="21.0" customHeight="1">
      <c r="A29" s="4">
        <v>28.0</v>
      </c>
      <c r="B29" s="4">
        <v>1270820.0</v>
      </c>
      <c r="C29" s="5">
        <v>46110.270833333336</v>
      </c>
      <c r="D29" s="5">
        <v>46110.583333333336</v>
      </c>
      <c r="E29" s="4" t="str">
        <f t="array" ref="E29">IF(B29="","",XLOOKUP($B29,Sheet2!$I:$I,Sheet2!$T:$T,""))</f>
        <v/>
      </c>
      <c r="F29" s="4" t="str">
        <f t="array" ref="F29">IF($B29="","",XLOOKUP($B29,Sheet2!$I:$I,Sheet2!$E:$E,""))</f>
        <v/>
      </c>
      <c r="G29" s="4" t="str">
        <f t="array" ref="G29">IF($B29="","",XLOOKUP($B29,Sheet2!$I:$I,Sheet2!$C:$C,""))</f>
        <v/>
      </c>
      <c r="H29" s="4" t="s">
        <v>51</v>
      </c>
      <c r="I29" s="4">
        <v>75.0</v>
      </c>
      <c r="J29" s="4">
        <v>82.0</v>
      </c>
      <c r="K29" s="4" t="s">
        <v>52</v>
      </c>
    </row>
    <row r="30" ht="21.0" customHeight="1">
      <c r="A30" s="4">
        <v>29.0</v>
      </c>
      <c r="B30" s="4">
        <v>1394996.0</v>
      </c>
      <c r="C30" s="5">
        <v>46107.458333333336</v>
      </c>
      <c r="D30" s="5">
        <v>46107.583333333336</v>
      </c>
      <c r="E30" s="4" t="str">
        <f t="array" ref="E30">IF(B30="","",XLOOKUP($B30,Sheet2!$I:$I,Sheet2!$T:$T,""))</f>
        <v/>
      </c>
      <c r="F30" s="4" t="str">
        <f t="array" ref="F30">IF($B30="","",XLOOKUP($B30,Sheet2!$I:$I,Sheet2!$E:$E,""))</f>
        <v/>
      </c>
      <c r="G30" s="4" t="str">
        <f t="array" ref="G30">IF($B30="","",XLOOKUP($B30,Sheet2!$I:$I,Sheet2!$C:$C,""))</f>
        <v/>
      </c>
      <c r="H30" s="4" t="s">
        <v>53</v>
      </c>
      <c r="I30" s="4">
        <v>56.0</v>
      </c>
      <c r="J30" s="4">
        <v>604.0</v>
      </c>
      <c r="K30" s="4" t="s">
        <v>54</v>
      </c>
    </row>
    <row r="31" ht="21.0" customHeight="1">
      <c r="A31" s="4">
        <v>30.0</v>
      </c>
      <c r="B31" s="4">
        <v>1398618.0</v>
      </c>
      <c r="C31" s="5">
        <v>46110.270833333336</v>
      </c>
      <c r="D31" s="5">
        <v>46110.583333333336</v>
      </c>
      <c r="E31" s="4" t="str">
        <f t="array" ref="E31">IF(B31="","",XLOOKUP($B31,Sheet2!$I:$I,Sheet2!$T:$T,""))</f>
        <v/>
      </c>
      <c r="F31" s="4" t="str">
        <f t="array" ref="F31">IF($B31="","",XLOOKUP($B31,Sheet2!$I:$I,Sheet2!$E:$E,""))</f>
        <v/>
      </c>
      <c r="G31" s="4" t="str">
        <f t="array" ref="G31">IF($B31="","",XLOOKUP($B31,Sheet2!$I:$I,Sheet2!$C:$C,""))</f>
        <v/>
      </c>
      <c r="H31" s="4" t="s">
        <v>55</v>
      </c>
      <c r="I31" s="4">
        <v>77.0</v>
      </c>
      <c r="J31" s="4"/>
      <c r="K31" s="4" t="s">
        <v>56</v>
      </c>
    </row>
    <row r="32" ht="21.0" customHeight="1">
      <c r="A32" s="4">
        <v>31.0</v>
      </c>
      <c r="B32" s="4">
        <v>1395103.0</v>
      </c>
      <c r="C32" s="5">
        <v>46107.270833333336</v>
      </c>
      <c r="D32" s="5">
        <v>46107.583333333336</v>
      </c>
      <c r="E32" s="4" t="str">
        <f t="array" ref="E32">IF(B32="","",XLOOKUP($B32,Sheet2!$I:$I,Sheet2!$T:$T,""))</f>
        <v/>
      </c>
      <c r="F32" s="4" t="str">
        <f t="array" ref="F32">IF($B32="","",XLOOKUP($B32,Sheet2!$I:$I,Sheet2!$E:$E,""))</f>
        <v/>
      </c>
      <c r="G32" s="4" t="str">
        <f t="array" ref="G32">IF($B32="","",XLOOKUP($B32,Sheet2!$I:$I,Sheet2!$C:$C,""))</f>
        <v/>
      </c>
      <c r="H32" s="4" t="s">
        <v>57</v>
      </c>
      <c r="I32" s="4">
        <v>70.0</v>
      </c>
      <c r="J32" s="4">
        <v>590.0</v>
      </c>
      <c r="K32" s="4" t="s">
        <v>35</v>
      </c>
      <c r="L32" s="7" t="s">
        <v>58</v>
      </c>
    </row>
    <row r="33" ht="21.0" customHeight="1">
      <c r="A33" s="4">
        <v>32.0</v>
      </c>
      <c r="B33" s="4">
        <v>1353295.0</v>
      </c>
      <c r="C33" s="5">
        <v>46107.270833333336</v>
      </c>
      <c r="D33" s="5">
        <v>46107.583333333336</v>
      </c>
      <c r="E33" s="4" t="str">
        <f t="array" ref="E33">IF(B33="","",XLOOKUP($B33,Sheet2!$I:$I,Sheet2!$T:$T,""))</f>
        <v/>
      </c>
      <c r="F33" s="4" t="str">
        <f t="array" ref="F33">IF($B33="","",XLOOKUP($B33,Sheet2!$I:$I,Sheet2!$E:$E,""))</f>
        <v/>
      </c>
      <c r="G33" s="4" t="str">
        <f t="array" ref="G33">IF($B33="","",XLOOKUP($B33,Sheet2!$I:$I,Sheet2!$C:$C,""))</f>
        <v/>
      </c>
      <c r="H33" s="4" t="s">
        <v>57</v>
      </c>
      <c r="I33" s="4">
        <v>55.0</v>
      </c>
      <c r="J33" s="4">
        <v>509.0</v>
      </c>
      <c r="K33" s="4" t="s">
        <v>30</v>
      </c>
      <c r="L33" s="7" t="s">
        <v>58</v>
      </c>
    </row>
    <row r="34" ht="21.0" customHeight="1">
      <c r="A34" s="4">
        <v>33.0</v>
      </c>
      <c r="B34" s="4">
        <v>1009761.0</v>
      </c>
      <c r="C34" s="5">
        <v>46107.270833333336</v>
      </c>
      <c r="D34" s="5">
        <v>46107.583333333336</v>
      </c>
      <c r="E34" s="4" t="str">
        <f t="array" ref="E34">IF(B34="","",XLOOKUP($B34,Sheet2!$I:$I,Sheet2!$T:$T,""))</f>
        <v/>
      </c>
      <c r="F34" s="4" t="str">
        <f t="array" ref="F34">IF($B34="","",XLOOKUP($B34,Sheet2!$I:$I,Sheet2!$E:$E,""))</f>
        <v/>
      </c>
      <c r="G34" s="4" t="str">
        <f t="array" ref="G34">IF($B34="","",XLOOKUP($B34,Sheet2!$I:$I,Sheet2!$C:$C,""))</f>
        <v/>
      </c>
      <c r="H34" s="4" t="s">
        <v>57</v>
      </c>
      <c r="I34" s="4">
        <v>57.0</v>
      </c>
      <c r="J34" s="4">
        <v>1.0</v>
      </c>
      <c r="K34" s="4" t="s">
        <v>31</v>
      </c>
      <c r="L34" s="7" t="s">
        <v>59</v>
      </c>
    </row>
    <row r="35" ht="24.0" customHeight="1">
      <c r="A35" s="4">
        <v>34.0</v>
      </c>
      <c r="B35" s="4">
        <v>1373070.0</v>
      </c>
      <c r="C35" s="5">
        <v>46111.270833333336</v>
      </c>
      <c r="D35" s="5">
        <v>46111.583333333336</v>
      </c>
      <c r="E35" s="4" t="str">
        <f t="array" ref="E35">IF(B35="","",XLOOKUP($B35,Sheet2!$I:$I,Sheet2!$T:$T,""))</f>
        <v/>
      </c>
      <c r="F35" s="4" t="str">
        <f t="array" ref="F35">IF($B35="","",XLOOKUP($B35,Sheet2!$I:$I,Sheet2!$E:$E,""))</f>
        <v/>
      </c>
      <c r="G35" s="4" t="str">
        <f t="array" ref="G35">IF($B35="","",XLOOKUP($B35,Sheet2!$I:$I,Sheet2!$C:$C,""))</f>
        <v/>
      </c>
      <c r="H35" s="4" t="s">
        <v>60</v>
      </c>
      <c r="I35" s="4">
        <v>95.0</v>
      </c>
      <c r="J35" s="4">
        <v>204.0</v>
      </c>
      <c r="K35" s="4" t="s">
        <v>61</v>
      </c>
    </row>
    <row r="36" ht="24.0" customHeight="1">
      <c r="A36" s="4">
        <v>35.0</v>
      </c>
      <c r="B36" s="4">
        <v>1353378.0</v>
      </c>
      <c r="C36" s="5">
        <v>46111.291666666664</v>
      </c>
      <c r="D36" s="5">
        <v>46111.583333333336</v>
      </c>
      <c r="E36" s="4" t="str">
        <f t="array" ref="E36">IF(B36="","",XLOOKUP($B36,Sheet2!$I:$I,Sheet2!$T:$T,""))</f>
        <v/>
      </c>
      <c r="F36" s="4" t="str">
        <f t="array" ref="F36">IF($B36="","",XLOOKUP($B36,Sheet2!$I:$I,Sheet2!$E:$E,""))</f>
        <v/>
      </c>
      <c r="G36" s="4" t="str">
        <f t="array" ref="G36">IF($B36="","",XLOOKUP($B36,Sheet2!$I:$I,Sheet2!$C:$C,""))</f>
        <v/>
      </c>
      <c r="H36" s="4" t="s">
        <v>57</v>
      </c>
      <c r="I36" s="4">
        <v>81.0</v>
      </c>
      <c r="J36" s="4">
        <v>324.0</v>
      </c>
      <c r="K36" s="4" t="s">
        <v>62</v>
      </c>
    </row>
    <row r="37" ht="24.0" customHeight="1">
      <c r="A37" s="4">
        <v>36.0</v>
      </c>
      <c r="B37" s="4">
        <v>1373781.0</v>
      </c>
      <c r="C37" s="5">
        <v>46112.416666666664</v>
      </c>
      <c r="D37" s="5">
        <v>46112.604166666664</v>
      </c>
      <c r="E37" s="4" t="str">
        <f t="array" ref="E37">IF(B37="","",XLOOKUP($B37,Sheet2!$I:$I,Sheet2!$T:$T,""))</f>
        <v/>
      </c>
      <c r="F37" s="4" t="str">
        <f t="array" ref="F37">IF($B37="","",XLOOKUP($B37,Sheet2!$I:$I,Sheet2!$E:$E,""))</f>
        <v/>
      </c>
      <c r="G37" s="4" t="str">
        <f t="array" ref="G37">IF($B37="","",XLOOKUP($B37,Sheet2!$I:$I,Sheet2!$C:$C,""))</f>
        <v/>
      </c>
      <c r="H37" s="4" t="s">
        <v>63</v>
      </c>
      <c r="I37" s="4">
        <v>74.0</v>
      </c>
      <c r="J37" s="4">
        <v>571.0</v>
      </c>
      <c r="K37" s="4" t="s">
        <v>64</v>
      </c>
    </row>
    <row r="38" ht="24.0" customHeight="1">
      <c r="A38" s="4">
        <v>37.0</v>
      </c>
      <c r="B38" s="4">
        <v>1365905.0</v>
      </c>
      <c r="C38" s="5">
        <v>46112.3125</v>
      </c>
      <c r="D38" s="5">
        <v>46112.604166666664</v>
      </c>
      <c r="E38" s="4" t="str">
        <f t="array" ref="E38">IF(B38="","",XLOOKUP($B38,Sheet2!$I:$I,Sheet2!$T:$T,""))</f>
        <v/>
      </c>
      <c r="F38" s="4" t="str">
        <f t="array" ref="F38">IF($B38="","",XLOOKUP($B38,Sheet2!$I:$I,Sheet2!$E:$E,""))</f>
        <v/>
      </c>
      <c r="G38" s="4" t="str">
        <f t="array" ref="G38">IF($B38="","",XLOOKUP($B38,Sheet2!$I:$I,Sheet2!$C:$C,""))</f>
        <v/>
      </c>
      <c r="H38" s="4" t="s">
        <v>27</v>
      </c>
      <c r="I38" s="4">
        <v>71.0</v>
      </c>
      <c r="J38" s="4">
        <v>270.0</v>
      </c>
      <c r="K38" s="4" t="s">
        <v>65</v>
      </c>
    </row>
    <row r="39" ht="24.0" customHeight="1">
      <c r="A39" s="4">
        <v>38.0</v>
      </c>
      <c r="B39" s="4">
        <v>1131539.0</v>
      </c>
      <c r="C39" s="5">
        <v>46113.416666666664</v>
      </c>
      <c r="D39" s="5">
        <v>46113.604166666664</v>
      </c>
      <c r="E39" s="4" t="str">
        <f t="array" ref="E39">IF(B39="","",XLOOKUP($B39,Sheet2!$I:$I,Sheet2!$T:$T,""))</f>
        <v/>
      </c>
      <c r="F39" s="4" t="str">
        <f t="array" ref="F39">IF($B39="","",XLOOKUP($B39,Sheet2!$I:$I,Sheet2!$E:$E,""))</f>
        <v/>
      </c>
      <c r="G39" s="4" t="str">
        <f t="array" ref="G39">IF($B39="","",XLOOKUP($B39,Sheet2!$I:$I,Sheet2!$C:$C,""))</f>
        <v/>
      </c>
      <c r="H39" s="4" t="s">
        <v>27</v>
      </c>
      <c r="I39" s="4">
        <v>51.0</v>
      </c>
      <c r="J39" s="4">
        <v>1755.0</v>
      </c>
      <c r="K39" s="4" t="s">
        <v>66</v>
      </c>
    </row>
    <row r="40" ht="24.0" customHeight="1">
      <c r="A40" s="4">
        <v>39.0</v>
      </c>
      <c r="B40" s="4">
        <v>1353611.0</v>
      </c>
      <c r="C40" s="5">
        <v>46113.416666666664</v>
      </c>
      <c r="D40" s="5">
        <v>46113.604166666664</v>
      </c>
      <c r="E40" s="4" t="str">
        <f t="array" ref="E40">IF(B40="","",XLOOKUP($B40,Sheet2!$I:$I,Sheet2!$T:$T,""))</f>
        <v/>
      </c>
      <c r="F40" s="4" t="str">
        <f t="array" ref="F40">IF($B40="","",XLOOKUP($B40,Sheet2!$I:$I,Sheet2!$E:$E,""))</f>
        <v/>
      </c>
      <c r="G40" s="4" t="str">
        <f t="array" ref="G40">IF($B40="","",XLOOKUP($B40,Sheet2!$I:$I,Sheet2!$C:$C,""))</f>
        <v/>
      </c>
      <c r="H40" s="4" t="s">
        <v>13</v>
      </c>
      <c r="I40" s="4">
        <v>51.0</v>
      </c>
      <c r="J40" s="4">
        <v>819.0</v>
      </c>
      <c r="K40" s="4" t="s">
        <v>67</v>
      </c>
    </row>
    <row r="41" ht="24.0" customHeight="1">
      <c r="A41" s="4">
        <v>40.0</v>
      </c>
      <c r="B41" s="4">
        <v>1378925.0</v>
      </c>
      <c r="C41" s="5">
        <v>46113.270833333336</v>
      </c>
      <c r="D41" s="5">
        <v>46113.604166666664</v>
      </c>
      <c r="E41" s="4" t="str">
        <f t="array" ref="E41">IF(B41="","",XLOOKUP($B41,Sheet2!$I:$I,Sheet2!$T:$T,""))</f>
        <v/>
      </c>
      <c r="F41" s="4" t="str">
        <f t="array" ref="F41">IF($B41="","",XLOOKUP($B41,Sheet2!$I:$I,Sheet2!$E:$E,""))</f>
        <v/>
      </c>
      <c r="G41" s="4" t="str">
        <f t="array" ref="G41">IF($B41="","",XLOOKUP($B41,Sheet2!$I:$I,Sheet2!$C:$C,""))</f>
        <v/>
      </c>
      <c r="H41" s="4" t="s">
        <v>51</v>
      </c>
      <c r="I41" s="4">
        <v>75.0</v>
      </c>
      <c r="J41" s="4">
        <v>1034.0</v>
      </c>
      <c r="K41" s="4" t="s">
        <v>68</v>
      </c>
      <c r="L41" s="7" t="s">
        <v>69</v>
      </c>
    </row>
    <row r="42" ht="24.0" customHeight="1">
      <c r="A42" s="4">
        <v>41.0</v>
      </c>
      <c r="B42" s="4">
        <v>1440164.0</v>
      </c>
      <c r="C42" s="5">
        <v>46113.291666666664</v>
      </c>
      <c r="D42" s="5">
        <v>46113.604166666664</v>
      </c>
      <c r="E42" s="4" t="str">
        <f t="array" ref="E42">IF(B42="","",XLOOKUP($B42,Sheet2!$I:$I,Sheet2!$T:$T,""))</f>
        <v/>
      </c>
      <c r="F42" s="4" t="str">
        <f t="array" ref="F42">IF($B42="","",XLOOKUP($B42,Sheet2!$I:$I,Sheet2!$E:$E,""))</f>
        <v/>
      </c>
      <c r="G42" s="4" t="str">
        <f t="array" ref="G42">IF($B42="","",XLOOKUP($B42,Sheet2!$I:$I,Sheet2!$C:$C,""))</f>
        <v/>
      </c>
      <c r="H42" s="4" t="s">
        <v>70</v>
      </c>
      <c r="I42" s="4">
        <v>90.0</v>
      </c>
      <c r="J42" s="4">
        <v>1023.0</v>
      </c>
      <c r="K42" s="4" t="s">
        <v>71</v>
      </c>
    </row>
    <row r="43" ht="25.5" customHeight="1">
      <c r="A43" s="4">
        <v>42.0</v>
      </c>
      <c r="B43" s="4">
        <v>1439088.0</v>
      </c>
      <c r="C43" s="5">
        <v>46113.291666666664</v>
      </c>
      <c r="D43" s="5">
        <v>46113.583333333336</v>
      </c>
      <c r="E43" s="4" t="str">
        <f t="array" ref="E43">IF(B43="","",XLOOKUP($B43,Sheet2!$I:$I,Sheet2!$T:$T,""))</f>
        <v/>
      </c>
      <c r="F43" s="4" t="str">
        <f t="array" ref="F43">IF($B43="","",XLOOKUP($B43,Sheet2!$I:$I,Sheet2!$E:$E,""))</f>
        <v/>
      </c>
      <c r="G43" s="4" t="str">
        <f t="array" ref="G43">IF($B43="","",XLOOKUP($B43,Sheet2!$I:$I,Sheet2!$C:$C,""))</f>
        <v/>
      </c>
      <c r="H43" s="4" t="s">
        <v>70</v>
      </c>
      <c r="I43" s="4">
        <v>90.0</v>
      </c>
      <c r="J43" s="4">
        <v>1023.0</v>
      </c>
      <c r="K43" s="4" t="s">
        <v>72</v>
      </c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  <c r="AA43" s="8"/>
      <c r="AB43" s="8"/>
      <c r="AC43" s="8"/>
    </row>
    <row r="44" ht="25.5" customHeight="1">
      <c r="A44" s="4">
        <v>43.0</v>
      </c>
      <c r="B44" s="4">
        <v>1284682.0</v>
      </c>
      <c r="C44" s="5">
        <v>46113.291666666664</v>
      </c>
      <c r="D44" s="5">
        <v>46113.541666666664</v>
      </c>
      <c r="E44" s="4" t="str">
        <f t="array" ref="E44">IF(B44="","",XLOOKUP($B44,Sheet2!$I:$I,Sheet2!$T:$T,""))</f>
        <v/>
      </c>
      <c r="F44" s="4" t="str">
        <f t="array" ref="F44">IF($B44="","",XLOOKUP($B44,Sheet2!$I:$I,Sheet2!$E:$E,""))</f>
        <v/>
      </c>
      <c r="G44" s="4" t="str">
        <f t="array" ref="G44">IF($B44="","",XLOOKUP($B44,Sheet2!$I:$I,Sheet2!$C:$C,""))</f>
        <v/>
      </c>
      <c r="H44" s="4" t="s">
        <v>18</v>
      </c>
      <c r="I44" s="4">
        <v>70.0</v>
      </c>
      <c r="J44" s="4" t="s">
        <v>73</v>
      </c>
      <c r="K44" s="4" t="s">
        <v>74</v>
      </c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  <c r="AA44" s="8"/>
      <c r="AB44" s="8"/>
      <c r="AC44" s="8"/>
    </row>
    <row r="45" ht="26.25" customHeight="1">
      <c r="A45" s="4">
        <v>44.0</v>
      </c>
      <c r="B45" s="4">
        <v>1348542.0</v>
      </c>
      <c r="C45" s="5">
        <v>46113.291666666664</v>
      </c>
      <c r="D45" s="5">
        <v>46113.541666666664</v>
      </c>
      <c r="E45" s="4" t="str">
        <f t="array" ref="E45">IF(B45="","",XLOOKUP($B45,Sheet2!$I:$I,Sheet2!$T:$T,""))</f>
        <v/>
      </c>
      <c r="F45" s="4" t="str">
        <f t="array" ref="F45">IF($B45="","",XLOOKUP($B45,Sheet2!$I:$I,Sheet2!$E:$E,""))</f>
        <v/>
      </c>
      <c r="G45" s="4" t="str">
        <f t="array" ref="G45">IF($B45="","",XLOOKUP($B45,Sheet2!$I:$I,Sheet2!$C:$C,""))</f>
        <v/>
      </c>
      <c r="H45" s="4" t="s">
        <v>18</v>
      </c>
      <c r="I45" s="4">
        <v>70.0</v>
      </c>
      <c r="J45" s="4" t="s">
        <v>69</v>
      </c>
      <c r="K45" s="4" t="s">
        <v>75</v>
      </c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  <c r="AA45" s="8"/>
      <c r="AB45" s="8"/>
      <c r="AC45" s="8"/>
    </row>
    <row r="46" ht="26.25" customHeight="1">
      <c r="A46" s="4">
        <v>45.0</v>
      </c>
      <c r="B46" s="4">
        <v>1284010.0</v>
      </c>
      <c r="C46" s="5">
        <v>46113.270833333336</v>
      </c>
      <c r="D46" s="5">
        <v>46113.583333333336</v>
      </c>
      <c r="E46" s="4" t="str">
        <f t="array" ref="E46">IF(B46="","",XLOOKUP($B46,Sheet2!$I:$I,Sheet2!$T:$T,""))</f>
        <v/>
      </c>
      <c r="F46" s="4" t="str">
        <f t="array" ref="F46">IF($B46="","",XLOOKUP($B46,Sheet2!$I:$I,Sheet2!$E:$E,""))</f>
        <v/>
      </c>
      <c r="G46" s="4" t="str">
        <f t="array" ref="G46">IF($B46="","",XLOOKUP($B46,Sheet2!$I:$I,Sheet2!$C:$C,""))</f>
        <v/>
      </c>
      <c r="H46" s="4" t="s">
        <v>76</v>
      </c>
      <c r="I46" s="4">
        <v>56.0</v>
      </c>
      <c r="J46" s="4">
        <v>555.0</v>
      </c>
      <c r="K46" s="4" t="s">
        <v>77</v>
      </c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  <c r="AA46" s="8"/>
      <c r="AB46" s="8"/>
      <c r="AC46" s="8"/>
    </row>
    <row r="47" ht="26.25" customHeight="1">
      <c r="A47" s="4">
        <v>46.0</v>
      </c>
      <c r="B47" s="4">
        <v>1400102.0</v>
      </c>
      <c r="C47" s="5">
        <v>46117.3125</v>
      </c>
      <c r="D47" s="5">
        <v>46117.604166666664</v>
      </c>
      <c r="E47" s="4" t="str">
        <f t="array" ref="E47">IF(B47="","",XLOOKUP($B47,Sheet2!$I:$I,Sheet2!$T:$T,""))</f>
        <v/>
      </c>
      <c r="F47" s="4" t="str">
        <f t="array" ref="F47">IF($B47="","",XLOOKUP($B47,Sheet2!$I:$I,Sheet2!$E:$E,""))</f>
        <v/>
      </c>
      <c r="G47" s="4" t="str">
        <f t="array" ref="G47">IF($B47="","",XLOOKUP($B47,Sheet2!$I:$I,Sheet2!$C:$C,""))</f>
        <v/>
      </c>
      <c r="H47" s="4" t="s">
        <v>13</v>
      </c>
      <c r="I47" s="4">
        <v>51.0</v>
      </c>
      <c r="J47" s="4">
        <v>950.0</v>
      </c>
      <c r="K47" s="4" t="s">
        <v>78</v>
      </c>
    </row>
    <row r="48" ht="26.25" customHeight="1">
      <c r="A48" s="4">
        <v>47.0</v>
      </c>
      <c r="B48" s="4">
        <v>1414258.0</v>
      </c>
      <c r="C48" s="5">
        <v>46117.333333333336</v>
      </c>
      <c r="D48" s="5">
        <v>46117.583333333336</v>
      </c>
      <c r="E48" s="4" t="str">
        <f t="array" ref="E48">IF(B48="","",XLOOKUP($B48,Sheet2!$I:$I,Sheet2!$T:$T,""))</f>
        <v/>
      </c>
      <c r="F48" s="4" t="str">
        <f t="array" ref="F48">IF($B48="","",XLOOKUP($B48,Sheet2!$I:$I,Sheet2!$E:$E,""))</f>
        <v/>
      </c>
      <c r="G48" s="4" t="str">
        <f t="array" ref="G48">IF($B48="","",XLOOKUP($B48,Sheet2!$I:$I,Sheet2!$C:$C,""))</f>
        <v/>
      </c>
      <c r="H48" s="4" t="s">
        <v>79</v>
      </c>
      <c r="I48" s="4">
        <v>91.0</v>
      </c>
      <c r="J48" s="4">
        <v>212.0</v>
      </c>
      <c r="K48" s="4" t="s">
        <v>80</v>
      </c>
    </row>
    <row r="49" ht="26.25" customHeight="1">
      <c r="A49" s="4">
        <v>48.0</v>
      </c>
      <c r="B49" s="4">
        <v>1393583.0</v>
      </c>
      <c r="C49" s="5">
        <v>46117.333333333336</v>
      </c>
      <c r="D49" s="5">
        <v>46117.583333333336</v>
      </c>
      <c r="E49" s="4" t="str">
        <f t="array" ref="E49">IF(B49="","",XLOOKUP($B49,Sheet2!$I:$I,Sheet2!$T:$T,""))</f>
        <v/>
      </c>
      <c r="F49" s="4" t="str">
        <f t="array" ref="F49">IF($B49="","",XLOOKUP($B49,Sheet2!$I:$I,Sheet2!$E:$E,""))</f>
        <v/>
      </c>
      <c r="G49" s="4" t="str">
        <f t="array" ref="G49">IF($B49="","",XLOOKUP($B49,Sheet2!$I:$I,Sheet2!$C:$C,""))</f>
        <v/>
      </c>
      <c r="H49" s="4" t="s">
        <v>79</v>
      </c>
      <c r="I49" s="4">
        <v>91.0</v>
      </c>
      <c r="J49" s="4">
        <v>212.0</v>
      </c>
      <c r="K49" s="4" t="s">
        <v>81</v>
      </c>
    </row>
    <row r="50" ht="26.25" customHeight="1">
      <c r="A50" s="4">
        <v>49.0</v>
      </c>
      <c r="B50" s="4">
        <v>1387177.0</v>
      </c>
      <c r="C50" s="5">
        <v>46117.270833333336</v>
      </c>
      <c r="D50" s="5">
        <v>46117.583333333336</v>
      </c>
      <c r="E50" s="4" t="str">
        <f t="array" ref="E50">IF(B50="","",XLOOKUP($B50,Sheet2!$I:$I,Sheet2!$T:$T,""))</f>
        <v/>
      </c>
      <c r="F50" s="4" t="str">
        <f t="array" ref="F50">IF($B50="","",XLOOKUP($B50,Sheet2!$I:$I,Sheet2!$E:$E,""))</f>
        <v/>
      </c>
      <c r="G50" s="4" t="str">
        <f t="array" ref="G50">IF($B50="","",XLOOKUP($B50,Sheet2!$I:$I,Sheet2!$C:$C,""))</f>
        <v/>
      </c>
      <c r="H50" s="4" t="s">
        <v>27</v>
      </c>
      <c r="I50" s="4">
        <v>71.0</v>
      </c>
      <c r="J50" s="4">
        <v>71.0</v>
      </c>
      <c r="K50" s="4" t="s">
        <v>82</v>
      </c>
    </row>
    <row r="51" ht="26.25" customHeight="1">
      <c r="A51" s="4">
        <v>50.0</v>
      </c>
      <c r="B51" s="4">
        <v>1428100.0</v>
      </c>
      <c r="C51" s="5">
        <v>46118.416666666664</v>
      </c>
      <c r="D51" s="5">
        <v>46118.604166666664</v>
      </c>
      <c r="E51" s="4" t="str">
        <f t="array" ref="E51">IF(B51="","",XLOOKUP($B51,Sheet2!$I:$I,Sheet2!$T:$T,""))</f>
        <v/>
      </c>
      <c r="F51" s="4" t="str">
        <f t="array" ref="F51">IF($B51="","",XLOOKUP($B51,Sheet2!$I:$I,Sheet2!$E:$E,""))</f>
        <v/>
      </c>
      <c r="G51" s="4" t="str">
        <f t="array" ref="G51">IF($B51="","",XLOOKUP($B51,Sheet2!$I:$I,Sheet2!$C:$C,""))</f>
        <v/>
      </c>
      <c r="H51" s="4" t="s">
        <v>25</v>
      </c>
      <c r="I51" s="4">
        <v>74.0</v>
      </c>
      <c r="J51" s="4">
        <v>641.0</v>
      </c>
      <c r="K51" s="4" t="s">
        <v>83</v>
      </c>
    </row>
    <row r="52" ht="26.25" customHeight="1">
      <c r="A52" s="4">
        <v>51.0</v>
      </c>
      <c r="B52" s="4">
        <v>1461962.0</v>
      </c>
      <c r="C52" s="5">
        <v>46118.291666666664</v>
      </c>
      <c r="D52" s="5">
        <v>46118.583333333336</v>
      </c>
      <c r="E52" s="4" t="str">
        <f t="array" ref="E52">IF(B52="","",XLOOKUP($B52,Sheet2!$I:$I,Sheet2!$T:$T,""))</f>
        <v/>
      </c>
      <c r="F52" s="4" t="str">
        <f t="array" ref="F52">IF($B52="","",XLOOKUP($B52,Sheet2!$I:$I,Sheet2!$E:$E,""))</f>
        <v/>
      </c>
      <c r="G52" s="4" t="str">
        <f t="array" ref="G52">IF($B52="","",XLOOKUP($B52,Sheet2!$I:$I,Sheet2!$C:$C,""))</f>
        <v/>
      </c>
      <c r="H52" s="4" t="s">
        <v>53</v>
      </c>
      <c r="I52" s="4">
        <v>56.0</v>
      </c>
      <c r="J52" s="4"/>
      <c r="K52" s="4" t="s">
        <v>84</v>
      </c>
    </row>
    <row r="53" ht="26.25" customHeight="1">
      <c r="A53" s="4">
        <v>52.0</v>
      </c>
      <c r="B53" s="4">
        <v>1232910.0</v>
      </c>
      <c r="C53" s="5">
        <v>46118.416666666664</v>
      </c>
      <c r="D53" s="5">
        <v>46118.583333333336</v>
      </c>
      <c r="E53" s="4" t="str">
        <f t="array" ref="E53">IF(B53="","",XLOOKUP($B53,Sheet2!$I:$I,Sheet2!$T:$T,""))</f>
        <v/>
      </c>
      <c r="F53" s="4" t="str">
        <f t="array" ref="F53">IF($B53="","",XLOOKUP($B53,Sheet2!$I:$I,Sheet2!$E:$E,""))</f>
        <v/>
      </c>
      <c r="G53" s="4" t="str">
        <f t="array" ref="G53">IF($B53="","",XLOOKUP($B53,Sheet2!$I:$I,Sheet2!$C:$C,""))</f>
        <v/>
      </c>
      <c r="H53" s="4" t="s">
        <v>16</v>
      </c>
      <c r="I53" s="4">
        <v>57.0</v>
      </c>
      <c r="J53" s="4">
        <v>150.0</v>
      </c>
      <c r="K53" s="4" t="s">
        <v>85</v>
      </c>
    </row>
    <row r="54" ht="26.25" customHeight="1">
      <c r="A54" s="4">
        <v>53.0</v>
      </c>
      <c r="B54" s="4">
        <v>1400098.0</v>
      </c>
      <c r="C54" s="5">
        <v>46119.3125</v>
      </c>
      <c r="D54" s="5">
        <v>46119.604166666664</v>
      </c>
      <c r="E54" s="4" t="str">
        <f t="array" ref="E54">IF(B54="","",XLOOKUP($B54,Sheet2!$I:$I,Sheet2!$T:$T,""))</f>
        <v/>
      </c>
      <c r="F54" s="4" t="str">
        <f t="array" ref="F54">IF($B54="","",XLOOKUP($B54,Sheet2!$I:$I,Sheet2!$E:$E,""))</f>
        <v/>
      </c>
      <c r="G54" s="4" t="str">
        <f t="array" ref="G54">IF($B54="","",XLOOKUP($B54,Sheet2!$I:$I,Sheet2!$C:$C,""))</f>
        <v/>
      </c>
      <c r="H54" s="4" t="s">
        <v>16</v>
      </c>
      <c r="I54" s="4">
        <v>57.0</v>
      </c>
      <c r="J54" s="4">
        <v>110.0</v>
      </c>
      <c r="K54" s="4" t="s">
        <v>86</v>
      </c>
    </row>
    <row r="55" ht="26.25" customHeight="1">
      <c r="A55" s="4">
        <v>54.0</v>
      </c>
      <c r="B55" s="4">
        <v>1374083.0</v>
      </c>
      <c r="C55" s="5">
        <v>46119.270833333336</v>
      </c>
      <c r="D55" s="5">
        <v>46119.583333333336</v>
      </c>
      <c r="E55" s="4" t="str">
        <f t="array" ref="E55">IF(B55="","",XLOOKUP($B55,Sheet2!$I:$I,Sheet2!$T:$T,""))</f>
        <v/>
      </c>
      <c r="F55" s="4" t="str">
        <f t="array" ref="F55">IF($B55="","",XLOOKUP($B55,Sheet2!$I:$I,Sheet2!$E:$E,""))</f>
        <v/>
      </c>
      <c r="G55" s="4" t="str">
        <f t="array" ref="G55">IF($B55="","",XLOOKUP($B55,Sheet2!$I:$I,Sheet2!$C:$C,""))</f>
        <v/>
      </c>
      <c r="H55" s="4" t="s">
        <v>79</v>
      </c>
      <c r="I55" s="4">
        <v>91.0</v>
      </c>
      <c r="J55" s="4">
        <v>237.0</v>
      </c>
      <c r="K55" s="4" t="s">
        <v>87</v>
      </c>
    </row>
    <row r="56" ht="26.25" customHeight="1">
      <c r="A56" s="4">
        <v>55.0</v>
      </c>
      <c r="B56" s="4">
        <v>1374077.0</v>
      </c>
      <c r="C56" s="5">
        <v>46119.270833333336</v>
      </c>
      <c r="D56" s="5">
        <v>46119.583333333336</v>
      </c>
      <c r="E56" s="4" t="str">
        <f t="array" ref="E56">IF(B56="","",XLOOKUP($B56,Sheet2!$I:$I,Sheet2!$T:$T,""))</f>
        <v/>
      </c>
      <c r="F56" s="4" t="str">
        <f t="array" ref="F56">IF($B56="","",XLOOKUP($B56,Sheet2!$I:$I,Sheet2!$E:$E,""))</f>
        <v/>
      </c>
      <c r="G56" s="4" t="str">
        <f t="array" ref="G56">IF($B56="","",XLOOKUP($B56,Sheet2!$I:$I,Sheet2!$C:$C,""))</f>
        <v/>
      </c>
      <c r="H56" s="4" t="s">
        <v>79</v>
      </c>
      <c r="I56" s="4">
        <v>91.0</v>
      </c>
      <c r="J56" s="4">
        <v>200.0</v>
      </c>
      <c r="K56" s="4" t="s">
        <v>88</v>
      </c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  <c r="AA56" s="8"/>
      <c r="AB56" s="8"/>
      <c r="AC56" s="8"/>
    </row>
    <row r="57" ht="26.25" customHeight="1">
      <c r="A57" s="4">
        <v>56.0</v>
      </c>
      <c r="B57" s="4">
        <v>1009761.0</v>
      </c>
      <c r="C57" s="5">
        <v>46119.270833333336</v>
      </c>
      <c r="D57" s="5">
        <v>46119.583333333336</v>
      </c>
      <c r="E57" s="4" t="str">
        <f t="array" ref="E57">IF(B57="","",XLOOKUP($B57,Sheet2!$I:$I,Sheet2!$T:$T,""))</f>
        <v/>
      </c>
      <c r="F57" s="4" t="str">
        <f t="array" ref="F57">IF($B57="","",XLOOKUP($B57,Sheet2!$I:$I,Sheet2!$E:$E,""))</f>
        <v/>
      </c>
      <c r="G57" s="4" t="str">
        <f t="array" ref="G57">IF($B57="","",XLOOKUP($B57,Sheet2!$I:$I,Sheet2!$C:$C,""))</f>
        <v/>
      </c>
      <c r="H57" s="4" t="s">
        <v>16</v>
      </c>
      <c r="I57" s="4">
        <v>57.0</v>
      </c>
      <c r="J57" s="4">
        <v>1.0</v>
      </c>
      <c r="K57" s="4" t="s">
        <v>31</v>
      </c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  <c r="AA57" s="8"/>
      <c r="AB57" s="8"/>
      <c r="AC57" s="8"/>
    </row>
    <row r="58" ht="27.0" customHeight="1">
      <c r="A58" s="4">
        <v>57.0</v>
      </c>
      <c r="B58" s="4">
        <v>1278138.0</v>
      </c>
      <c r="C58" s="5">
        <v>46120.3125</v>
      </c>
      <c r="D58" s="5">
        <v>46120.604166666664</v>
      </c>
      <c r="E58" s="4" t="str">
        <f t="array" ref="E58">IF(B58="","",XLOOKUP($B58,Sheet2!$I:$I,Sheet2!$T:$T,""))</f>
        <v/>
      </c>
      <c r="F58" s="4" t="str">
        <f t="array" ref="F58">IF($B58="","",XLOOKUP($B58,Sheet2!$I:$I,Sheet2!$E:$E,""))</f>
        <v/>
      </c>
      <c r="G58" s="4" t="str">
        <f t="array" ref="G58">IF($B58="","",XLOOKUP($B58,Sheet2!$I:$I,Sheet2!$C:$C,""))</f>
        <v/>
      </c>
      <c r="H58" s="4" t="s">
        <v>76</v>
      </c>
      <c r="I58" s="4">
        <v>56.0</v>
      </c>
      <c r="J58" s="4">
        <v>850.0</v>
      </c>
      <c r="K58" s="4" t="s">
        <v>89</v>
      </c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  <c r="AA58" s="8"/>
      <c r="AB58" s="8"/>
      <c r="AC58" s="8"/>
    </row>
    <row r="59" ht="27.0" customHeight="1">
      <c r="A59" s="4">
        <v>58.0</v>
      </c>
      <c r="B59" s="4">
        <v>1376624.0</v>
      </c>
      <c r="C59" s="5">
        <v>46120.3125</v>
      </c>
      <c r="D59" s="5">
        <v>46120.604166666664</v>
      </c>
      <c r="E59" s="4" t="str">
        <f t="array" ref="E59">IF(B59="","",XLOOKUP($B59,Sheet2!$I:$I,Sheet2!$T:$T,""))</f>
        <v/>
      </c>
      <c r="F59" s="4" t="str">
        <f t="array" ref="F59">IF($B59="","",XLOOKUP($B59,Sheet2!$I:$I,Sheet2!$E:$E,""))</f>
        <v/>
      </c>
      <c r="G59" s="4" t="str">
        <f t="array" ref="G59">IF($B59="","",XLOOKUP($B59,Sheet2!$I:$I,Sheet2!$C:$C,""))</f>
        <v/>
      </c>
      <c r="H59" s="4" t="s">
        <v>90</v>
      </c>
      <c r="I59" s="4">
        <v>55.0</v>
      </c>
      <c r="J59" s="4">
        <v>950.0</v>
      </c>
      <c r="K59" s="4" t="s">
        <v>91</v>
      </c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  <c r="AA59" s="8"/>
      <c r="AB59" s="8"/>
      <c r="AC59" s="8"/>
    </row>
    <row r="60" ht="27.0" customHeight="1">
      <c r="A60" s="4">
        <v>59.0</v>
      </c>
      <c r="B60" s="4">
        <v>1353841.0</v>
      </c>
      <c r="C60" s="5">
        <v>46121.291666666664</v>
      </c>
      <c r="D60" s="5">
        <v>46121.5</v>
      </c>
      <c r="E60" s="4" t="str">
        <f t="array" ref="E60">IF(B60="","",XLOOKUP($B60,Sheet2!$I:$I,Sheet2!$T:$T,""))</f>
        <v/>
      </c>
      <c r="F60" s="4" t="str">
        <f t="array" ref="F60">IF($B60="","",XLOOKUP($B60,Sheet2!$I:$I,Sheet2!$E:$E,""))</f>
        <v/>
      </c>
      <c r="G60" s="4" t="str">
        <f t="array" ref="G60">IF($B60="","",XLOOKUP($B60,Sheet2!$I:$I,Sheet2!$C:$C,""))</f>
        <v/>
      </c>
      <c r="H60" s="4" t="s">
        <v>27</v>
      </c>
      <c r="I60" s="4">
        <v>70.0</v>
      </c>
      <c r="J60" s="4">
        <v>162.0</v>
      </c>
      <c r="K60" s="4" t="s">
        <v>92</v>
      </c>
    </row>
    <row r="61" ht="27.0" customHeight="1">
      <c r="A61" s="4">
        <v>60.0</v>
      </c>
      <c r="B61" s="4">
        <v>1353220.0</v>
      </c>
      <c r="C61" s="5">
        <v>46124.291666666664</v>
      </c>
      <c r="D61" s="5">
        <v>46124.541666666664</v>
      </c>
      <c r="E61" s="4" t="str">
        <f t="array" ref="E61">IF(B61="","",XLOOKUP($B61,Sheet2!$I:$I,Sheet2!$T:$T,""))</f>
        <v/>
      </c>
      <c r="F61" s="4" t="str">
        <f t="array" ref="F61">IF($B61="","",XLOOKUP($B61,Sheet2!$I:$I,Sheet2!$E:$E,""))</f>
        <v/>
      </c>
      <c r="G61" s="4" t="str">
        <f t="array" ref="G61">IF($B61="","",XLOOKUP($B61,Sheet2!$I:$I,Sheet2!$C:$C,""))</f>
        <v/>
      </c>
      <c r="H61" s="4" t="s">
        <v>93</v>
      </c>
      <c r="I61" s="4">
        <v>55.0</v>
      </c>
      <c r="J61" s="4">
        <v>150.0</v>
      </c>
      <c r="K61" s="4" t="s">
        <v>94</v>
      </c>
    </row>
    <row r="62" ht="27.0" customHeight="1">
      <c r="A62" s="4">
        <v>61.0</v>
      </c>
      <c r="B62" s="4">
        <v>1353177.0</v>
      </c>
      <c r="C62" s="5">
        <v>46125.291666666664</v>
      </c>
      <c r="D62" s="5">
        <v>46125.520833333336</v>
      </c>
      <c r="E62" s="4" t="str">
        <f t="array" ref="E62">IF(B62="","",XLOOKUP($B62,Sheet2!$I:$I,Sheet2!$T:$T,""))</f>
        <v/>
      </c>
      <c r="F62" s="4" t="str">
        <f t="array" ref="F62">IF($B62="","",XLOOKUP($B62,Sheet2!$I:$I,Sheet2!$E:$E,""))</f>
        <v/>
      </c>
      <c r="G62" s="4" t="str">
        <f t="array" ref="G62">IF($B62="","",XLOOKUP($B62,Sheet2!$I:$I,Sheet2!$C:$C,""))</f>
        <v/>
      </c>
      <c r="H62" s="4" t="s">
        <v>90</v>
      </c>
      <c r="I62" s="4">
        <v>55.0</v>
      </c>
      <c r="J62" s="4">
        <v>680.0</v>
      </c>
      <c r="K62" s="4" t="s">
        <v>95</v>
      </c>
    </row>
    <row r="63" ht="27.0" customHeight="1">
      <c r="A63" s="4">
        <v>62.0</v>
      </c>
      <c r="B63" s="4">
        <v>906153.0</v>
      </c>
      <c r="C63" s="5">
        <v>46125.416666666664</v>
      </c>
      <c r="D63" s="5">
        <v>46125.583333333336</v>
      </c>
      <c r="E63" s="4" t="str">
        <f t="array" ref="E63">IF(B63="","",XLOOKUP($B63,Sheet2!$I:$I,Sheet2!$T:$T,""))</f>
        <v/>
      </c>
      <c r="F63" s="4" t="str">
        <f t="array" ref="F63">IF($B63="","",XLOOKUP($B63,Sheet2!$I:$I,Sheet2!$E:$E,""))</f>
        <v/>
      </c>
      <c r="G63" s="4" t="str">
        <f t="array" ref="G63">IF($B63="","",XLOOKUP($B63,Sheet2!$I:$I,Sheet2!$C:$C,""))</f>
        <v/>
      </c>
      <c r="H63" s="4" t="s">
        <v>96</v>
      </c>
      <c r="I63" s="4">
        <v>53.0</v>
      </c>
      <c r="J63" s="4">
        <v>850.0</v>
      </c>
      <c r="K63" s="4" t="s">
        <v>97</v>
      </c>
    </row>
    <row r="64" ht="24.0" customHeight="1">
      <c r="A64" s="4">
        <v>63.0</v>
      </c>
      <c r="B64" s="4"/>
      <c r="C64" s="5">
        <v>46125.291666666664</v>
      </c>
      <c r="D64" s="5">
        <v>46125.583333333336</v>
      </c>
      <c r="E64" s="4" t="str">
        <f t="array" ref="E64">IF(B64="","",XLOOKUP($B64,Sheet2!$I:$I,Sheet2!$T:$T,""))</f>
        <v/>
      </c>
      <c r="F64" s="4" t="str">
        <f t="array" ref="F64">IF($B64="","",XLOOKUP($B64,Sheet2!$I:$I,Sheet2!$E:$E,""))</f>
        <v/>
      </c>
      <c r="G64" s="4" t="str">
        <f t="array" ref="G64">IF($B64="","",XLOOKUP($B64,Sheet2!$I:$I,Sheet2!$C:$C,""))</f>
        <v/>
      </c>
      <c r="H64" s="4" t="s">
        <v>18</v>
      </c>
      <c r="I64" s="4">
        <v>70.0</v>
      </c>
      <c r="J64" s="4">
        <v>235.0</v>
      </c>
      <c r="K64" s="4" t="s">
        <v>98</v>
      </c>
      <c r="L64" s="7" t="s">
        <v>69</v>
      </c>
    </row>
    <row r="65" ht="24.0" customHeight="1">
      <c r="A65" s="4">
        <v>64.0</v>
      </c>
      <c r="B65" s="4">
        <v>1388327.0</v>
      </c>
      <c r="C65" s="5">
        <v>46125.270833333336</v>
      </c>
      <c r="D65" s="5">
        <v>46125.583333333336</v>
      </c>
      <c r="E65" s="4" t="str">
        <f t="array" ref="E65">IF(B65="","",XLOOKUP($B65,Sheet2!$I:$I,Sheet2!$T:$T,""))</f>
        <v/>
      </c>
      <c r="F65" s="4" t="str">
        <f t="array" ref="F65">IF($B65="","",XLOOKUP($B65,Sheet2!$I:$I,Sheet2!$E:$E,""))</f>
        <v/>
      </c>
      <c r="G65" s="4" t="str">
        <f t="array" ref="G65">IF($B65="","",XLOOKUP($B65,Sheet2!$I:$I,Sheet2!$C:$C,""))</f>
        <v/>
      </c>
      <c r="H65" s="4" t="s">
        <v>16</v>
      </c>
      <c r="I65" s="4">
        <v>57.0</v>
      </c>
      <c r="J65" s="4">
        <v>110.0</v>
      </c>
      <c r="K65" s="4" t="s">
        <v>99</v>
      </c>
    </row>
    <row r="66" ht="24.0" customHeight="1">
      <c r="A66" s="4">
        <v>65.0</v>
      </c>
      <c r="B66" s="4">
        <v>1268118.0</v>
      </c>
      <c r="C66" s="5">
        <v>46126.3125</v>
      </c>
      <c r="D66" s="5">
        <v>46126.604166666664</v>
      </c>
      <c r="E66" s="4" t="str">
        <f t="array" ref="E66">IF(B66="","",XLOOKUP($B66,Sheet2!$I:$I,Sheet2!$T:$T,""))</f>
        <v/>
      </c>
      <c r="F66" s="4" t="str">
        <f t="array" ref="F66">IF($B66="","",XLOOKUP($B66,Sheet2!$I:$I,Sheet2!$E:$E,""))</f>
        <v/>
      </c>
      <c r="G66" s="4" t="str">
        <f t="array" ref="G66">IF($B66="","",XLOOKUP($B66,Sheet2!$I:$I,Sheet2!$C:$C,""))</f>
        <v/>
      </c>
      <c r="H66" s="4" t="s">
        <v>29</v>
      </c>
      <c r="I66" s="4">
        <v>55.0</v>
      </c>
      <c r="J66" s="4">
        <v>1214.0</v>
      </c>
      <c r="K66" s="4" t="s">
        <v>100</v>
      </c>
    </row>
    <row r="67" ht="24.0" customHeight="1">
      <c r="A67" s="4">
        <v>66.0</v>
      </c>
      <c r="B67" s="4">
        <v>1427446.0</v>
      </c>
      <c r="C67" s="5">
        <v>46126.270833333336</v>
      </c>
      <c r="D67" s="5">
        <v>46126.583333333336</v>
      </c>
      <c r="E67" s="4" t="str">
        <f t="array" ref="E67">IF(B67="","",XLOOKUP($B67,Sheet2!$I:$I,Sheet2!$T:$T,""))</f>
        <v/>
      </c>
      <c r="F67" s="4" t="str">
        <f t="array" ref="F67">IF($B67="","",XLOOKUP($B67,Sheet2!$I:$I,Sheet2!$E:$E,""))</f>
        <v/>
      </c>
      <c r="G67" s="4" t="str">
        <f t="array" ref="G67">IF($B67="","",XLOOKUP($B67,Sheet2!$I:$I,Sheet2!$C:$C,""))</f>
        <v/>
      </c>
      <c r="H67" s="4" t="s">
        <v>101</v>
      </c>
      <c r="I67" s="4">
        <v>24.0</v>
      </c>
      <c r="J67" s="4">
        <v>840.0</v>
      </c>
      <c r="K67" s="4" t="s">
        <v>102</v>
      </c>
    </row>
    <row r="68" ht="24.0" customHeight="1">
      <c r="A68" s="4">
        <v>67.0</v>
      </c>
      <c r="B68" s="4">
        <v>1450682.0</v>
      </c>
      <c r="C68" s="5">
        <v>46126.458333333336</v>
      </c>
      <c r="D68" s="5">
        <v>46126.625</v>
      </c>
      <c r="E68" s="4" t="str">
        <f t="array" ref="E68">IF(B68="","",XLOOKUP($B68,Sheet2!$I:$I,Sheet2!$T:$T,""))</f>
        <v/>
      </c>
      <c r="F68" s="4" t="str">
        <f t="array" ref="F68">IF($B68="","",XLOOKUP($B68,Sheet2!$I:$I,Sheet2!$E:$E,""))</f>
        <v/>
      </c>
      <c r="G68" s="4" t="str">
        <f t="array" ref="G68">IF($B68="","",XLOOKUP($B68,Sheet2!$I:$I,Sheet2!$C:$C,""))</f>
        <v/>
      </c>
      <c r="H68" s="4" t="s">
        <v>53</v>
      </c>
      <c r="I68" s="4">
        <v>56.0</v>
      </c>
      <c r="J68" s="4">
        <v>0.0</v>
      </c>
      <c r="K68" s="4" t="s">
        <v>103</v>
      </c>
    </row>
    <row r="69" ht="24.0" customHeight="1">
      <c r="A69" s="4">
        <v>68.0</v>
      </c>
      <c r="B69" s="4">
        <v>1353177.0</v>
      </c>
      <c r="C69" s="5">
        <v>46127.291666666664</v>
      </c>
      <c r="D69" s="5">
        <v>46127.541666666664</v>
      </c>
      <c r="E69" s="4" t="str">
        <f t="array" ref="E69">IF(B69="","",XLOOKUP($B69,Sheet2!$I:$I,Sheet2!$T:$T,""))</f>
        <v/>
      </c>
      <c r="F69" s="4" t="str">
        <f t="array" ref="F69">IF($B69="","",XLOOKUP($B69,Sheet2!$I:$I,Sheet2!$E:$E,""))</f>
        <v/>
      </c>
      <c r="G69" s="4" t="str">
        <f t="array" ref="G69">IF($B69="","",XLOOKUP($B69,Sheet2!$I:$I,Sheet2!$C:$C,""))</f>
        <v/>
      </c>
      <c r="H69" s="4" t="s">
        <v>29</v>
      </c>
      <c r="I69" s="4">
        <v>55.0</v>
      </c>
      <c r="J69" s="4">
        <v>680.0</v>
      </c>
      <c r="K69" s="4" t="s">
        <v>95</v>
      </c>
    </row>
    <row r="70" ht="24.0" customHeight="1">
      <c r="A70" s="4"/>
      <c r="B70" s="4">
        <v>1450682.0</v>
      </c>
      <c r="C70" s="5">
        <v>46128.375</v>
      </c>
      <c r="D70" s="5">
        <v>46128.583333333336</v>
      </c>
      <c r="E70" s="4" t="str">
        <f t="array" ref="E70">IF(B70="","",XLOOKUP($B70,Sheet2!$I:$I,Sheet2!$T:$T,""))</f>
        <v/>
      </c>
      <c r="F70" s="4" t="str">
        <f t="array" ref="F70">IF($B70="","",XLOOKUP($B70,Sheet2!$I:$I,Sheet2!$E:$E,""))</f>
        <v/>
      </c>
      <c r="G70" s="4" t="str">
        <f t="array" ref="G70">IF($B70="","",XLOOKUP($B70,Sheet2!$I:$I,Sheet2!$C:$C,""))</f>
        <v/>
      </c>
      <c r="H70" s="4" t="s">
        <v>53</v>
      </c>
      <c r="I70" s="4">
        <v>56.0</v>
      </c>
      <c r="J70" s="4">
        <v>0.0</v>
      </c>
      <c r="K70" s="4" t="s">
        <v>103</v>
      </c>
    </row>
    <row r="71" ht="24.0" customHeight="1">
      <c r="A71" s="4">
        <v>69.0</v>
      </c>
      <c r="B71" s="4">
        <v>1425528.0</v>
      </c>
      <c r="C71" s="5">
        <v>46131.416666666664</v>
      </c>
      <c r="D71" s="5">
        <v>46131.583333333336</v>
      </c>
      <c r="E71" s="4" t="str">
        <f t="array" ref="E71">IF(B71="","",XLOOKUP($B71,Sheet2!$I:$I,Sheet2!$T:$T,""))</f>
        <v/>
      </c>
      <c r="F71" s="4" t="str">
        <f t="array" ref="F71">IF($B71="","",XLOOKUP($B71,Sheet2!$I:$I,Sheet2!$E:$E,""))</f>
        <v/>
      </c>
      <c r="G71" s="4" t="str">
        <f t="array" ref="G71">IF($B71="","",XLOOKUP($B71,Sheet2!$I:$I,Sheet2!$C:$C,""))</f>
        <v/>
      </c>
      <c r="H71" s="4" t="s">
        <v>79</v>
      </c>
      <c r="I71" s="4">
        <v>91.0</v>
      </c>
      <c r="J71" s="4">
        <v>201.0</v>
      </c>
      <c r="K71" s="4" t="s">
        <v>104</v>
      </c>
    </row>
    <row r="72" ht="24.0" customHeight="1">
      <c r="A72" s="4">
        <v>70.0</v>
      </c>
      <c r="B72" s="4">
        <v>1364669.0</v>
      </c>
      <c r="C72" s="5">
        <v>46131.291666666664</v>
      </c>
      <c r="D72" s="5">
        <v>46131.583333333336</v>
      </c>
      <c r="E72" s="4" t="str">
        <f t="array" ref="E72">IF(B72="","",XLOOKUP($B72,Sheet2!$I:$I,Sheet2!$T:$T,""))</f>
        <v/>
      </c>
      <c r="F72" s="4" t="str">
        <f t="array" ref="F72">IF($B72="","",XLOOKUP($B72,Sheet2!$I:$I,Sheet2!$E:$E,""))</f>
        <v/>
      </c>
      <c r="G72" s="4" t="str">
        <f t="array" ref="G72">IF($B72="","",XLOOKUP($B72,Sheet2!$I:$I,Sheet2!$C:$C,""))</f>
        <v/>
      </c>
      <c r="H72" s="4" t="s">
        <v>105</v>
      </c>
      <c r="I72" s="4">
        <v>51.0</v>
      </c>
      <c r="J72" s="4">
        <v>1460.0</v>
      </c>
      <c r="K72" s="4" t="s">
        <v>106</v>
      </c>
      <c r="L72" s="9"/>
      <c r="M72" s="9"/>
      <c r="N72" s="9"/>
      <c r="O72" s="9"/>
      <c r="P72" s="9"/>
      <c r="Q72" s="9"/>
      <c r="R72" s="9"/>
      <c r="S72" s="9"/>
      <c r="T72" s="9"/>
      <c r="U72" s="9"/>
      <c r="V72" s="9"/>
      <c r="W72" s="9"/>
      <c r="X72" s="9"/>
      <c r="Y72" s="9"/>
      <c r="Z72" s="9"/>
      <c r="AA72" s="9"/>
      <c r="AB72" s="9"/>
      <c r="AC72" s="9"/>
    </row>
    <row r="73" ht="24.0" customHeight="1">
      <c r="A73" s="4">
        <v>71.0</v>
      </c>
      <c r="B73" s="4">
        <v>1376733.0</v>
      </c>
      <c r="C73" s="5">
        <v>46132.291666666664</v>
      </c>
      <c r="D73" s="5">
        <v>46132.458333333336</v>
      </c>
      <c r="E73" s="4" t="str">
        <f t="array" ref="E73">IF(B73="","",XLOOKUP($B73,Sheet2!$I:$I,Sheet2!$T:$T,""))</f>
        <v/>
      </c>
      <c r="F73" s="4" t="str">
        <f t="array" ref="F73">IF($B73="","",XLOOKUP($B73,Sheet2!$I:$I,Sheet2!$E:$E,""))</f>
        <v/>
      </c>
      <c r="G73" s="4" t="str">
        <f t="array" ref="G73">IF($B73="","",XLOOKUP($B73,Sheet2!$I:$I,Sheet2!$C:$C,""))</f>
        <v/>
      </c>
      <c r="H73" s="4" t="s">
        <v>53</v>
      </c>
      <c r="I73" s="4">
        <v>56.0</v>
      </c>
      <c r="J73" s="4">
        <v>990.0</v>
      </c>
      <c r="K73" s="4" t="s">
        <v>107</v>
      </c>
      <c r="L73" s="9"/>
      <c r="M73" s="9"/>
      <c r="N73" s="9"/>
      <c r="O73" s="9"/>
      <c r="P73" s="9"/>
      <c r="Q73" s="9"/>
      <c r="R73" s="9"/>
      <c r="S73" s="9"/>
      <c r="T73" s="9"/>
      <c r="U73" s="9"/>
      <c r="V73" s="9"/>
      <c r="W73" s="9"/>
      <c r="X73" s="9"/>
      <c r="Y73" s="9"/>
      <c r="Z73" s="9"/>
      <c r="AA73" s="9"/>
      <c r="AB73" s="9"/>
      <c r="AC73" s="9"/>
    </row>
    <row r="74" ht="24.0" customHeight="1">
      <c r="A74" s="4">
        <v>72.0</v>
      </c>
      <c r="B74" s="4">
        <v>1284911.0</v>
      </c>
      <c r="C74" s="5">
        <v>46133.270833333336</v>
      </c>
      <c r="D74" s="5">
        <v>46133.583333333336</v>
      </c>
      <c r="E74" s="4" t="str">
        <f t="array" ref="E74">IF(B74="","",XLOOKUP($B74,Sheet2!$I:$I,Sheet2!$T:$T,""))</f>
        <v/>
      </c>
      <c r="F74" s="4" t="str">
        <f t="array" ref="F74">IF($B74="","",XLOOKUP($B74,Sheet2!$I:$I,Sheet2!$E:$E,""))</f>
        <v/>
      </c>
      <c r="G74" s="4" t="str">
        <f t="array" ref="G74">IF($B74="","",XLOOKUP($B74,Sheet2!$I:$I,Sheet2!$C:$C,""))</f>
        <v/>
      </c>
      <c r="H74" s="4" t="s">
        <v>18</v>
      </c>
      <c r="I74" s="4">
        <v>70.0</v>
      </c>
      <c r="J74" s="4">
        <v>390.0</v>
      </c>
      <c r="K74" s="4" t="s">
        <v>108</v>
      </c>
      <c r="L74" s="9"/>
      <c r="M74" s="9"/>
      <c r="N74" s="9"/>
      <c r="O74" s="9"/>
      <c r="P74" s="9"/>
      <c r="Q74" s="9"/>
      <c r="R74" s="9"/>
      <c r="S74" s="9"/>
      <c r="T74" s="9"/>
      <c r="U74" s="9"/>
      <c r="V74" s="9"/>
      <c r="W74" s="9"/>
      <c r="X74" s="9"/>
      <c r="Y74" s="9"/>
      <c r="Z74" s="9"/>
      <c r="AA74" s="9"/>
      <c r="AB74" s="9"/>
      <c r="AC74" s="9"/>
    </row>
    <row r="75" ht="24.0" customHeight="1">
      <c r="A75" s="4">
        <v>73.0</v>
      </c>
      <c r="B75" s="4">
        <v>1284912.0</v>
      </c>
      <c r="C75" s="5">
        <v>46133.270833333336</v>
      </c>
      <c r="D75" s="5">
        <v>46133.583333333336</v>
      </c>
      <c r="E75" s="4" t="str">
        <f t="array" ref="E75">IF(B75="","",XLOOKUP($B75,Sheet2!$I:$I,Sheet2!$T:$T,""))</f>
        <v/>
      </c>
      <c r="F75" s="4" t="str">
        <f t="array" ref="F75">IF($B75="","",XLOOKUP($B75,Sheet2!$I:$I,Sheet2!$E:$E,""))</f>
        <v/>
      </c>
      <c r="G75" s="4" t="str">
        <f t="array" ref="G75">IF($B75="","",XLOOKUP($B75,Sheet2!$I:$I,Sheet2!$C:$C,""))</f>
        <v/>
      </c>
      <c r="H75" s="4" t="s">
        <v>18</v>
      </c>
      <c r="I75" s="4">
        <v>70.0</v>
      </c>
      <c r="J75" s="4">
        <v>390.0</v>
      </c>
      <c r="K75" s="4" t="s">
        <v>109</v>
      </c>
      <c r="L75" s="9"/>
      <c r="M75" s="9"/>
      <c r="N75" s="9"/>
      <c r="O75" s="9"/>
      <c r="P75" s="9"/>
      <c r="Q75" s="9"/>
      <c r="R75" s="9"/>
      <c r="S75" s="9"/>
      <c r="T75" s="9"/>
      <c r="U75" s="9"/>
      <c r="V75" s="9"/>
      <c r="W75" s="9"/>
      <c r="X75" s="9"/>
      <c r="Y75" s="9"/>
      <c r="Z75" s="9"/>
      <c r="AA75" s="9"/>
      <c r="AB75" s="9"/>
      <c r="AC75" s="9"/>
    </row>
    <row r="76" ht="24.0" customHeight="1">
      <c r="A76" s="4">
        <v>74.0</v>
      </c>
      <c r="B76" s="4">
        <v>1284913.0</v>
      </c>
      <c r="C76" s="5">
        <v>46133.270833333336</v>
      </c>
      <c r="D76" s="5">
        <v>46133.583333333336</v>
      </c>
      <c r="E76" s="4" t="str">
        <f t="array" ref="E76">IF(B76="","",XLOOKUP($B76,Sheet2!$I:$I,Sheet2!$T:$T,""))</f>
        <v/>
      </c>
      <c r="F76" s="4" t="str">
        <f t="array" ref="F76">IF($B76="","",XLOOKUP($B76,Sheet2!$I:$I,Sheet2!$E:$E,""))</f>
        <v/>
      </c>
      <c r="G76" s="4" t="str">
        <f t="array" ref="G76">IF($B76="","",XLOOKUP($B76,Sheet2!$I:$I,Sheet2!$C:$C,""))</f>
        <v/>
      </c>
      <c r="H76" s="4" t="s">
        <v>18</v>
      </c>
      <c r="I76" s="4">
        <v>70.0</v>
      </c>
      <c r="J76" s="4">
        <v>390.0</v>
      </c>
      <c r="K76" s="4" t="s">
        <v>109</v>
      </c>
      <c r="L76" s="9"/>
      <c r="M76" s="9"/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  <c r="Y76" s="9"/>
      <c r="Z76" s="9"/>
      <c r="AA76" s="9"/>
      <c r="AB76" s="9"/>
      <c r="AC76" s="9"/>
    </row>
    <row r="77" ht="24.0" customHeight="1">
      <c r="A77" s="4">
        <v>75.0</v>
      </c>
      <c r="B77" s="4">
        <v>1284914.0</v>
      </c>
      <c r="C77" s="5">
        <v>46133.270833333336</v>
      </c>
      <c r="D77" s="5">
        <v>46133.583333333336</v>
      </c>
      <c r="E77" s="4" t="str">
        <f t="array" ref="E77">IF(B77="","",XLOOKUP($B77,Sheet2!$I:$I,Sheet2!$T:$T,""))</f>
        <v/>
      </c>
      <c r="F77" s="4" t="str">
        <f t="array" ref="F77">IF($B77="","",XLOOKUP($B77,Sheet2!$I:$I,Sheet2!$E:$E,""))</f>
        <v/>
      </c>
      <c r="G77" s="4" t="str">
        <f t="array" ref="G77">IF($B77="","",XLOOKUP($B77,Sheet2!$I:$I,Sheet2!$C:$C,""))</f>
        <v/>
      </c>
      <c r="H77" s="4" t="s">
        <v>18</v>
      </c>
      <c r="I77" s="4">
        <v>70.0</v>
      </c>
      <c r="J77" s="4">
        <v>390.0</v>
      </c>
      <c r="K77" s="4" t="s">
        <v>110</v>
      </c>
      <c r="L77" s="9"/>
      <c r="M77" s="9"/>
      <c r="N77" s="9"/>
      <c r="O77" s="9"/>
      <c r="P77" s="9"/>
      <c r="Q77" s="9"/>
      <c r="R77" s="9"/>
      <c r="S77" s="9"/>
      <c r="T77" s="9"/>
      <c r="U77" s="9"/>
      <c r="V77" s="9"/>
      <c r="W77" s="9"/>
      <c r="X77" s="9"/>
      <c r="Y77" s="9"/>
      <c r="Z77" s="9"/>
      <c r="AA77" s="9"/>
      <c r="AB77" s="9"/>
      <c r="AC77" s="9"/>
    </row>
    <row r="78" ht="24.0" customHeight="1">
      <c r="A78" s="4">
        <v>76.0</v>
      </c>
      <c r="B78" s="4">
        <v>1331603.0</v>
      </c>
      <c r="C78" s="5">
        <v>46133.270833333336</v>
      </c>
      <c r="D78" s="5">
        <v>46133.583333333336</v>
      </c>
      <c r="E78" s="4" t="str">
        <f t="array" ref="E78">IF(B78="","",XLOOKUP($B78,Sheet2!$I:$I,Sheet2!$T:$T,""))</f>
        <v/>
      </c>
      <c r="F78" s="4" t="str">
        <f t="array" ref="F78">IF($B78="","",XLOOKUP($B78,Sheet2!$I:$I,Sheet2!$E:$E,""))</f>
        <v/>
      </c>
      <c r="G78" s="4" t="str">
        <f t="array" ref="G78">IF($B78="","",XLOOKUP($B78,Sheet2!$I:$I,Sheet2!$C:$C,""))</f>
        <v/>
      </c>
      <c r="H78" s="4" t="s">
        <v>18</v>
      </c>
      <c r="I78" s="4">
        <v>70.0</v>
      </c>
      <c r="J78" s="4">
        <v>390.0</v>
      </c>
      <c r="K78" s="4" t="s">
        <v>111</v>
      </c>
      <c r="L78" s="9"/>
      <c r="M78" s="9"/>
      <c r="N78" s="9"/>
      <c r="O78" s="9"/>
      <c r="P78" s="9"/>
      <c r="Q78" s="9"/>
      <c r="R78" s="9"/>
      <c r="S78" s="9"/>
      <c r="T78" s="9"/>
      <c r="U78" s="9"/>
      <c r="V78" s="9"/>
      <c r="W78" s="9"/>
      <c r="X78" s="9"/>
      <c r="Y78" s="9"/>
      <c r="Z78" s="9"/>
      <c r="AA78" s="9"/>
      <c r="AB78" s="9"/>
      <c r="AC78" s="9"/>
    </row>
    <row r="79" ht="24.0" customHeight="1">
      <c r="A79" s="4">
        <v>77.0</v>
      </c>
      <c r="B79" s="4">
        <v>1346206.0</v>
      </c>
      <c r="C79" s="5">
        <v>46133.270833333336</v>
      </c>
      <c r="D79" s="5">
        <v>46133.583333333336</v>
      </c>
      <c r="E79" s="4" t="str">
        <f t="array" ref="E79">IF(B79="","",XLOOKUP($B79,Sheet2!$I:$I,Sheet2!$T:$T,""))</f>
        <v>ZA70-EXP0390-ITS-IFP-00068</v>
      </c>
      <c r="F79" s="4" t="str">
        <f t="array" ref="F79">IF($B79="","",XLOOKUP($B79,Sheet2!$I:$I,Sheet2!$E:$E,""))</f>
        <v>ITS-FP-08</v>
      </c>
      <c r="G79" s="4" t="str">
        <f t="array" ref="G79">IF($B79="","",XLOOKUP($B79,Sheet2!$I:$I,Sheet2!$C:$C,""))</f>
        <v>51.488784 25.630043</v>
      </c>
      <c r="H79" s="4" t="s">
        <v>18</v>
      </c>
      <c r="I79" s="4">
        <v>70.0</v>
      </c>
      <c r="J79" s="4">
        <v>390.0</v>
      </c>
      <c r="K79" s="4" t="s">
        <v>112</v>
      </c>
      <c r="L79" s="9"/>
      <c r="M79" s="9"/>
      <c r="N79" s="9"/>
      <c r="O79" s="9"/>
      <c r="P79" s="9"/>
      <c r="Q79" s="9"/>
      <c r="R79" s="9"/>
      <c r="S79" s="9"/>
      <c r="T79" s="9"/>
      <c r="U79" s="9"/>
      <c r="V79" s="9"/>
      <c r="W79" s="9"/>
      <c r="X79" s="9"/>
      <c r="Y79" s="9"/>
      <c r="Z79" s="9"/>
      <c r="AA79" s="9"/>
      <c r="AB79" s="9"/>
      <c r="AC79" s="9"/>
    </row>
    <row r="80" ht="24.0" customHeight="1">
      <c r="A80" s="4">
        <v>78.0</v>
      </c>
      <c r="B80" s="4">
        <v>1346226.0</v>
      </c>
      <c r="C80" s="5">
        <v>46133.270833333336</v>
      </c>
      <c r="D80" s="5">
        <v>46133.583333333336</v>
      </c>
      <c r="E80" s="4" t="str">
        <f t="array" ref="E80">IF(B80="","",XLOOKUP($B80,Sheet2!$I:$I,Sheet2!$T:$T,""))</f>
        <v/>
      </c>
      <c r="F80" s="4" t="str">
        <f t="array" ref="F80">IF($B80="","",XLOOKUP($B80,Sheet2!$I:$I,Sheet2!$E:$E,""))</f>
        <v/>
      </c>
      <c r="G80" s="4" t="str">
        <f t="array" ref="G80">IF($B80="","",XLOOKUP($B80,Sheet2!$I:$I,Sheet2!$C:$C,""))</f>
        <v/>
      </c>
      <c r="H80" s="4" t="s">
        <v>18</v>
      </c>
      <c r="I80" s="4">
        <v>70.0</v>
      </c>
      <c r="J80" s="4">
        <v>390.0</v>
      </c>
      <c r="K80" s="4" t="s">
        <v>113</v>
      </c>
      <c r="L80" s="9"/>
      <c r="M80" s="9"/>
      <c r="N80" s="9"/>
      <c r="O80" s="9"/>
      <c r="P80" s="9"/>
      <c r="Q80" s="9"/>
      <c r="R80" s="9"/>
      <c r="S80" s="9"/>
      <c r="T80" s="9"/>
      <c r="U80" s="9"/>
      <c r="V80" s="9"/>
      <c r="W80" s="9"/>
      <c r="X80" s="9"/>
      <c r="Y80" s="9"/>
      <c r="Z80" s="9"/>
      <c r="AA80" s="9"/>
      <c r="AB80" s="9"/>
      <c r="AC80" s="9"/>
    </row>
    <row r="81" ht="24.0" customHeight="1">
      <c r="A81" s="4">
        <v>79.0</v>
      </c>
      <c r="B81" s="4">
        <v>1346227.0</v>
      </c>
      <c r="C81" s="5">
        <v>46133.270833333336</v>
      </c>
      <c r="D81" s="5">
        <v>46133.583333333336</v>
      </c>
      <c r="E81" s="4" t="str">
        <f t="array" ref="E81">IF(B81="","",XLOOKUP($B81,Sheet2!$I:$I,Sheet2!$T:$T,""))</f>
        <v/>
      </c>
      <c r="F81" s="4" t="str">
        <f t="array" ref="F81">IF($B81="","",XLOOKUP($B81,Sheet2!$I:$I,Sheet2!$E:$E,""))</f>
        <v/>
      </c>
      <c r="G81" s="4" t="str">
        <f t="array" ref="G81">IF($B81="","",XLOOKUP($B81,Sheet2!$I:$I,Sheet2!$C:$C,""))</f>
        <v/>
      </c>
      <c r="H81" s="4" t="s">
        <v>18</v>
      </c>
      <c r="I81" s="4">
        <v>70.0</v>
      </c>
      <c r="J81" s="4">
        <v>390.0</v>
      </c>
      <c r="K81" s="4" t="s">
        <v>114</v>
      </c>
      <c r="L81" s="9"/>
      <c r="M81" s="9"/>
      <c r="N81" s="9"/>
      <c r="O81" s="9"/>
      <c r="P81" s="9"/>
      <c r="Q81" s="9"/>
      <c r="R81" s="9"/>
      <c r="S81" s="9"/>
      <c r="T81" s="9"/>
      <c r="U81" s="9"/>
      <c r="V81" s="9"/>
      <c r="W81" s="9"/>
      <c r="X81" s="9"/>
      <c r="Y81" s="9"/>
      <c r="Z81" s="9"/>
      <c r="AA81" s="9"/>
      <c r="AB81" s="9"/>
      <c r="AC81" s="9"/>
    </row>
    <row r="82" ht="24.0" customHeight="1">
      <c r="A82" s="4">
        <v>80.0</v>
      </c>
      <c r="B82" s="4">
        <v>1348622.0</v>
      </c>
      <c r="C82" s="5">
        <v>46133.270833333336</v>
      </c>
      <c r="D82" s="5">
        <v>46133.583333333336</v>
      </c>
      <c r="E82" s="4" t="str">
        <f t="array" ref="E82">IF(B82="","",XLOOKUP($B82,Sheet2!$I:$I,Sheet2!$T:$T,""))</f>
        <v/>
      </c>
      <c r="F82" s="4" t="str">
        <f t="array" ref="F82">IF($B82="","",XLOOKUP($B82,Sheet2!$I:$I,Sheet2!$E:$E,""))</f>
        <v/>
      </c>
      <c r="G82" s="4" t="str">
        <f t="array" ref="G82">IF($B82="","",XLOOKUP($B82,Sheet2!$I:$I,Sheet2!$C:$C,""))</f>
        <v/>
      </c>
      <c r="H82" s="4" t="s">
        <v>18</v>
      </c>
      <c r="I82" s="4">
        <v>70.0</v>
      </c>
      <c r="J82" s="4">
        <v>390.0</v>
      </c>
      <c r="K82" s="4" t="s">
        <v>115</v>
      </c>
      <c r="L82" s="9"/>
      <c r="M82" s="9"/>
      <c r="N82" s="9"/>
      <c r="O82" s="9"/>
      <c r="P82" s="9"/>
      <c r="Q82" s="9"/>
      <c r="R82" s="9"/>
      <c r="S82" s="9"/>
      <c r="T82" s="9"/>
      <c r="U82" s="9"/>
      <c r="V82" s="9"/>
      <c r="W82" s="9"/>
      <c r="X82" s="9"/>
      <c r="Y82" s="9"/>
      <c r="Z82" s="9"/>
      <c r="AA82" s="9"/>
      <c r="AB82" s="9"/>
      <c r="AC82" s="9"/>
    </row>
    <row r="83" ht="24.0" customHeight="1">
      <c r="A83" s="4">
        <v>81.0</v>
      </c>
      <c r="B83" s="4">
        <v>1349283.0</v>
      </c>
      <c r="C83" s="5">
        <v>46133.270833333336</v>
      </c>
      <c r="D83" s="5">
        <v>46133.583333333336</v>
      </c>
      <c r="E83" s="4" t="str">
        <f t="array" ref="E83">IF(B83="","",XLOOKUP($B83,Sheet2!$I:$I,Sheet2!$T:$T,""))</f>
        <v/>
      </c>
      <c r="F83" s="4" t="str">
        <f t="array" ref="F83">IF($B83="","",XLOOKUP($B83,Sheet2!$I:$I,Sheet2!$E:$E,""))</f>
        <v/>
      </c>
      <c r="G83" s="4" t="str">
        <f t="array" ref="G83">IF($B83="","",XLOOKUP($B83,Sheet2!$I:$I,Sheet2!$C:$C,""))</f>
        <v/>
      </c>
      <c r="H83" s="4" t="s">
        <v>18</v>
      </c>
      <c r="I83" s="4">
        <v>70.0</v>
      </c>
      <c r="J83" s="4">
        <v>390.0</v>
      </c>
      <c r="K83" s="4" t="s">
        <v>116</v>
      </c>
      <c r="L83" s="9"/>
      <c r="M83" s="9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  <c r="Z83" s="9"/>
      <c r="AA83" s="9"/>
      <c r="AB83" s="9"/>
      <c r="AC83" s="9"/>
    </row>
    <row r="84" ht="24.0" customHeight="1">
      <c r="A84" s="4">
        <v>82.0</v>
      </c>
      <c r="B84" s="4">
        <v>1368808.0</v>
      </c>
      <c r="C84" s="5">
        <v>46133.270833333336</v>
      </c>
      <c r="D84" s="5">
        <v>46133.583333333336</v>
      </c>
      <c r="E84" s="4" t="str">
        <f t="array" ref="E84">IF(B84="","",XLOOKUP($B84,Sheet2!$I:$I,Sheet2!$T:$T,""))</f>
        <v/>
      </c>
      <c r="F84" s="4" t="str">
        <f t="array" ref="F84">IF($B84="","",XLOOKUP($B84,Sheet2!$I:$I,Sheet2!$E:$E,""))</f>
        <v/>
      </c>
      <c r="G84" s="4" t="str">
        <f t="array" ref="G84">IF($B84="","",XLOOKUP($B84,Sheet2!$I:$I,Sheet2!$C:$C,""))</f>
        <v/>
      </c>
      <c r="H84" s="4" t="s">
        <v>18</v>
      </c>
      <c r="I84" s="4">
        <v>70.0</v>
      </c>
      <c r="J84" s="4">
        <v>390.0</v>
      </c>
      <c r="K84" s="4" t="s">
        <v>117</v>
      </c>
      <c r="L84" s="9"/>
      <c r="M84" s="9"/>
      <c r="N84" s="9"/>
      <c r="O84" s="9"/>
      <c r="P84" s="9"/>
      <c r="Q84" s="9"/>
      <c r="R84" s="9"/>
      <c r="S84" s="9"/>
      <c r="T84" s="9"/>
      <c r="U84" s="9"/>
      <c r="V84" s="9"/>
      <c r="W84" s="9"/>
      <c r="X84" s="9"/>
      <c r="Y84" s="9"/>
      <c r="Z84" s="9"/>
      <c r="AA84" s="9"/>
      <c r="AB84" s="9"/>
      <c r="AC84" s="9"/>
    </row>
    <row r="85" ht="24.0" customHeight="1">
      <c r="A85" s="4">
        <v>84.0</v>
      </c>
      <c r="B85" s="4">
        <v>1233399.0</v>
      </c>
      <c r="C85" s="5">
        <v>46133.458333333336</v>
      </c>
      <c r="D85" s="5">
        <v>46133.541666666664</v>
      </c>
      <c r="E85" s="4" t="str">
        <f t="array" ref="E85">IF(B85="","",XLOOKUP($B85,Sheet2!$I:$I,Sheet2!$T:$T,""))</f>
        <v>FP-02A</v>
      </c>
      <c r="F85" s="4" t="str">
        <f t="array" ref="F85">IF($B85="","",XLOOKUP($B85,Sheet2!$I:$I,Sheet2!$E:$E,""))</f>
        <v>ITS-FP-02A</v>
      </c>
      <c r="G85" s="4" t="str">
        <f t="array" ref="G85">IF($B85="","",XLOOKUP($B85,Sheet2!$I:$I,Sheet2!$C:$C,""))</f>
        <v>51.516953 25.221163</v>
      </c>
      <c r="H85" s="4" t="s">
        <v>118</v>
      </c>
      <c r="I85" s="4">
        <v>56.0</v>
      </c>
      <c r="J85" s="4">
        <v>271.0</v>
      </c>
      <c r="K85" s="4" t="s">
        <v>119</v>
      </c>
      <c r="L85" s="9"/>
      <c r="M85" s="9"/>
      <c r="N85" s="9"/>
      <c r="O85" s="9"/>
      <c r="P85" s="9"/>
      <c r="Q85" s="9"/>
      <c r="R85" s="9"/>
      <c r="S85" s="9"/>
      <c r="T85" s="9"/>
      <c r="U85" s="9"/>
      <c r="V85" s="9"/>
      <c r="W85" s="9"/>
      <c r="X85" s="9"/>
      <c r="Y85" s="9"/>
      <c r="Z85" s="9"/>
      <c r="AA85" s="9"/>
      <c r="AB85" s="9"/>
      <c r="AC85" s="9"/>
    </row>
    <row r="86" ht="24.0" customHeight="1">
      <c r="A86" s="4">
        <v>85.0</v>
      </c>
      <c r="B86" s="4">
        <v>123370.0</v>
      </c>
      <c r="C86" s="5">
        <v>46133.458333333336</v>
      </c>
      <c r="D86" s="5">
        <v>46133.541666666664</v>
      </c>
      <c r="E86" s="4" t="str">
        <f t="array" ref="E86">IF(B86="","",XLOOKUP($B86,Sheet2!$I:$I,Sheet2!$T:$T,""))</f>
        <v/>
      </c>
      <c r="F86" s="4" t="str">
        <f t="array" ref="F86">IF($B86="","",XLOOKUP($B86,Sheet2!$I:$I,Sheet2!$E:$E,""))</f>
        <v/>
      </c>
      <c r="G86" s="4" t="str">
        <f t="array" ref="G86">IF($B86="","",XLOOKUP($B86,Sheet2!$I:$I,Sheet2!$C:$C,""))</f>
        <v/>
      </c>
      <c r="H86" s="4" t="s">
        <v>118</v>
      </c>
      <c r="I86" s="4">
        <v>56.0</v>
      </c>
      <c r="J86" s="4">
        <v>271.0</v>
      </c>
      <c r="K86" s="4" t="s">
        <v>120</v>
      </c>
      <c r="L86" s="9"/>
      <c r="M86" s="9"/>
      <c r="N86" s="9"/>
      <c r="O86" s="9"/>
      <c r="P86" s="9"/>
      <c r="Q86" s="9"/>
      <c r="R86" s="9"/>
      <c r="S86" s="9"/>
      <c r="T86" s="9"/>
      <c r="U86" s="9"/>
      <c r="V86" s="9"/>
      <c r="W86" s="9"/>
      <c r="X86" s="9"/>
      <c r="Y86" s="9"/>
      <c r="Z86" s="9"/>
      <c r="AA86" s="9"/>
      <c r="AB86" s="9"/>
      <c r="AC86" s="9"/>
    </row>
    <row r="87" ht="24.0" customHeight="1">
      <c r="A87" s="4">
        <v>86.0</v>
      </c>
      <c r="B87" s="4">
        <v>1289539.0</v>
      </c>
      <c r="C87" s="5">
        <v>46133.270833333336</v>
      </c>
      <c r="D87" s="5">
        <v>46133.604166666664</v>
      </c>
      <c r="E87" s="4" t="str">
        <f t="array" ref="E87">IF(B87="","",XLOOKUP($B87,Sheet2!$I:$I,Sheet2!$T:$T,""))</f>
        <v/>
      </c>
      <c r="F87" s="4" t="str">
        <f t="array" ref="F87">IF($B87="","",XLOOKUP($B87,Sheet2!$I:$I,Sheet2!$E:$E,""))</f>
        <v/>
      </c>
      <c r="G87" s="4" t="str">
        <f t="array" ref="G87">IF($B87="","",XLOOKUP($B87,Sheet2!$I:$I,Sheet2!$C:$C,""))</f>
        <v/>
      </c>
      <c r="H87" s="4" t="s">
        <v>121</v>
      </c>
      <c r="I87" s="4">
        <v>73.0</v>
      </c>
      <c r="J87" s="4"/>
      <c r="K87" s="4" t="s">
        <v>122</v>
      </c>
      <c r="L87" s="9"/>
      <c r="M87" s="9"/>
      <c r="N87" s="9"/>
      <c r="O87" s="9"/>
      <c r="P87" s="9"/>
      <c r="Q87" s="9"/>
      <c r="R87" s="9"/>
      <c r="S87" s="9"/>
      <c r="T87" s="9"/>
      <c r="U87" s="9"/>
      <c r="V87" s="9"/>
      <c r="W87" s="9"/>
      <c r="X87" s="9"/>
      <c r="Y87" s="9"/>
      <c r="Z87" s="9"/>
      <c r="AA87" s="9"/>
      <c r="AB87" s="9"/>
      <c r="AC87" s="9"/>
    </row>
    <row r="88" ht="24.0" customHeight="1">
      <c r="A88" s="4">
        <v>87.0</v>
      </c>
      <c r="B88" s="4">
        <v>1429275.0</v>
      </c>
      <c r="C88" s="5">
        <v>46133.270833333336</v>
      </c>
      <c r="D88" s="5">
        <v>46133.583333333336</v>
      </c>
      <c r="E88" s="4" t="str">
        <f t="array" ref="E88">IF(B88="","",XLOOKUP($B88,Sheet2!$I:$I,Sheet2!$T:$T,""))</f>
        <v/>
      </c>
      <c r="F88" s="4" t="str">
        <f t="array" ref="F88">IF($B88="","",XLOOKUP($B88,Sheet2!$I:$I,Sheet2!$E:$E,""))</f>
        <v/>
      </c>
      <c r="G88" s="4" t="str">
        <f t="array" ref="G88">IF($B88="","",XLOOKUP($B88,Sheet2!$I:$I,Sheet2!$C:$C,""))</f>
        <v/>
      </c>
      <c r="H88" s="4" t="s">
        <v>18</v>
      </c>
      <c r="I88" s="4">
        <v>70.0</v>
      </c>
      <c r="J88" s="4">
        <v>3031.0</v>
      </c>
      <c r="K88" s="4" t="s">
        <v>123</v>
      </c>
      <c r="L88" s="9"/>
      <c r="M88" s="9"/>
      <c r="N88" s="9"/>
      <c r="O88" s="9"/>
      <c r="P88" s="9"/>
      <c r="Q88" s="9"/>
      <c r="R88" s="9"/>
      <c r="S88" s="9"/>
      <c r="T88" s="9"/>
      <c r="U88" s="9"/>
      <c r="V88" s="9"/>
      <c r="W88" s="9"/>
      <c r="X88" s="9"/>
      <c r="Y88" s="9"/>
      <c r="Z88" s="9"/>
      <c r="AA88" s="9"/>
      <c r="AB88" s="9"/>
      <c r="AC88" s="9"/>
    </row>
    <row r="89" ht="23.25" customHeight="1">
      <c r="A89" s="4">
        <v>88.0</v>
      </c>
      <c r="B89" s="4">
        <v>1429274.0</v>
      </c>
      <c r="C89" s="5">
        <v>46133.270833333336</v>
      </c>
      <c r="D89" s="5">
        <v>46133.583333333336</v>
      </c>
      <c r="E89" s="4" t="str">
        <f t="array" ref="E89">IF(B89="","",XLOOKUP($B89,Sheet2!$I:$I,Sheet2!$T:$T,""))</f>
        <v/>
      </c>
      <c r="F89" s="4" t="str">
        <f t="array" ref="F89">IF($B89="","",XLOOKUP($B89,Sheet2!$I:$I,Sheet2!$E:$E,""))</f>
        <v/>
      </c>
      <c r="G89" s="4" t="str">
        <f t="array" ref="G89">IF($B89="","",XLOOKUP($B89,Sheet2!$I:$I,Sheet2!$C:$C,""))</f>
        <v/>
      </c>
      <c r="H89" s="4" t="s">
        <v>18</v>
      </c>
      <c r="I89" s="4">
        <v>70.0</v>
      </c>
      <c r="J89" s="4">
        <v>3314.0</v>
      </c>
      <c r="K89" s="4" t="s">
        <v>124</v>
      </c>
      <c r="L89" s="9"/>
      <c r="M89" s="9"/>
      <c r="N89" s="9"/>
      <c r="O89" s="9"/>
      <c r="P89" s="9"/>
      <c r="Q89" s="9"/>
      <c r="R89" s="9"/>
      <c r="S89" s="9"/>
      <c r="T89" s="9"/>
      <c r="U89" s="9"/>
      <c r="V89" s="9"/>
      <c r="W89" s="9"/>
      <c r="X89" s="9"/>
      <c r="Y89" s="9"/>
      <c r="Z89" s="9"/>
      <c r="AA89" s="9"/>
      <c r="AB89" s="9"/>
      <c r="AC89" s="9"/>
    </row>
    <row r="90" ht="23.25" customHeight="1">
      <c r="A90" s="4">
        <v>89.0</v>
      </c>
      <c r="B90" s="4">
        <v>1284680.0</v>
      </c>
      <c r="C90" s="5">
        <v>46133.291666666664</v>
      </c>
      <c r="D90" s="5">
        <v>46133.583333333336</v>
      </c>
      <c r="E90" s="4" t="str">
        <f t="array" ref="E90">IF(B90="","",XLOOKUP($B90,Sheet2!$I:$I,Sheet2!$T:$T,""))</f>
        <v/>
      </c>
      <c r="F90" s="4" t="str">
        <f t="array" ref="F90">IF($B90="","",XLOOKUP($B90,Sheet2!$I:$I,Sheet2!$E:$E,""))</f>
        <v/>
      </c>
      <c r="G90" s="4" t="str">
        <f t="array" ref="G90">IF($B90="","",XLOOKUP($B90,Sheet2!$I:$I,Sheet2!$C:$C,""))</f>
        <v/>
      </c>
      <c r="H90" s="4" t="s">
        <v>125</v>
      </c>
      <c r="I90" s="4">
        <v>70.0</v>
      </c>
      <c r="J90" s="4">
        <v>235.0</v>
      </c>
      <c r="K90" s="4" t="s">
        <v>126</v>
      </c>
      <c r="L90" s="9"/>
      <c r="M90" s="9"/>
      <c r="N90" s="9"/>
      <c r="O90" s="9"/>
      <c r="P90" s="9"/>
      <c r="Q90" s="9"/>
      <c r="R90" s="9"/>
      <c r="S90" s="9"/>
      <c r="T90" s="9"/>
      <c r="U90" s="9"/>
      <c r="V90" s="9"/>
      <c r="W90" s="9"/>
      <c r="X90" s="9"/>
      <c r="Y90" s="9"/>
      <c r="Z90" s="9"/>
      <c r="AA90" s="9"/>
      <c r="AB90" s="9"/>
      <c r="AC90" s="9"/>
    </row>
    <row r="91" ht="23.25" customHeight="1">
      <c r="A91" s="4">
        <v>90.0</v>
      </c>
      <c r="B91" s="4">
        <v>1284681.0</v>
      </c>
      <c r="C91" s="5">
        <v>46133.291666666664</v>
      </c>
      <c r="D91" s="5">
        <v>46133.583333333336</v>
      </c>
      <c r="E91" s="4" t="str">
        <f t="array" ref="E91">IF(B91="","",XLOOKUP($B91,Sheet2!$I:$I,Sheet2!$T:$T,""))</f>
        <v/>
      </c>
      <c r="F91" s="4" t="str">
        <f t="array" ref="F91">IF($B91="","",XLOOKUP($B91,Sheet2!$I:$I,Sheet2!$E:$E,""))</f>
        <v/>
      </c>
      <c r="G91" s="4" t="str">
        <f t="array" ref="G91">IF($B91="","",XLOOKUP($B91,Sheet2!$I:$I,Sheet2!$C:$C,""))</f>
        <v/>
      </c>
      <c r="H91" s="4" t="s">
        <v>125</v>
      </c>
      <c r="I91" s="4">
        <v>70.0</v>
      </c>
      <c r="J91" s="4">
        <v>235.0</v>
      </c>
      <c r="K91" s="4" t="s">
        <v>127</v>
      </c>
      <c r="L91" s="9"/>
      <c r="M91" s="9"/>
      <c r="N91" s="9"/>
      <c r="O91" s="9"/>
      <c r="P91" s="9"/>
      <c r="Q91" s="9"/>
      <c r="R91" s="9"/>
      <c r="S91" s="9"/>
      <c r="T91" s="9"/>
      <c r="U91" s="9"/>
      <c r="V91" s="9"/>
      <c r="W91" s="9"/>
      <c r="X91" s="9"/>
      <c r="Y91" s="9"/>
      <c r="Z91" s="9"/>
      <c r="AA91" s="9"/>
      <c r="AB91" s="9"/>
      <c r="AC91" s="9"/>
    </row>
    <row r="92" ht="23.25" customHeight="1">
      <c r="A92" s="4">
        <v>91.0</v>
      </c>
      <c r="B92" s="4">
        <v>1284682.0</v>
      </c>
      <c r="C92" s="5">
        <v>46133.291666666664</v>
      </c>
      <c r="D92" s="5">
        <v>46133.583333333336</v>
      </c>
      <c r="E92" s="4" t="str">
        <f t="array" ref="E92">IF(B92="","",XLOOKUP($B92,Sheet2!$I:$I,Sheet2!$T:$T,""))</f>
        <v/>
      </c>
      <c r="F92" s="4" t="str">
        <f t="array" ref="F92">IF($B92="","",XLOOKUP($B92,Sheet2!$I:$I,Sheet2!$E:$E,""))</f>
        <v/>
      </c>
      <c r="G92" s="4" t="str">
        <f t="array" ref="G92">IF($B92="","",XLOOKUP($B92,Sheet2!$I:$I,Sheet2!$C:$C,""))</f>
        <v/>
      </c>
      <c r="H92" s="4" t="s">
        <v>125</v>
      </c>
      <c r="I92" s="4">
        <v>70.0</v>
      </c>
      <c r="J92" s="4">
        <v>235.0</v>
      </c>
      <c r="K92" s="4" t="s">
        <v>128</v>
      </c>
      <c r="L92" s="9"/>
      <c r="M92" s="9"/>
      <c r="N92" s="9"/>
      <c r="O92" s="9"/>
      <c r="P92" s="9"/>
      <c r="Q92" s="9"/>
      <c r="R92" s="9"/>
      <c r="S92" s="9"/>
      <c r="T92" s="9"/>
      <c r="U92" s="9"/>
      <c r="V92" s="9"/>
      <c r="W92" s="9"/>
      <c r="X92" s="9"/>
      <c r="Y92" s="9"/>
      <c r="Z92" s="9"/>
      <c r="AA92" s="9"/>
      <c r="AB92" s="9"/>
      <c r="AC92" s="9"/>
    </row>
    <row r="93" ht="23.25" customHeight="1">
      <c r="A93" s="4">
        <v>92.0</v>
      </c>
      <c r="B93" s="4">
        <v>1284684.0</v>
      </c>
      <c r="C93" s="5">
        <v>46133.291666666664</v>
      </c>
      <c r="D93" s="5">
        <v>46133.583333333336</v>
      </c>
      <c r="E93" s="4" t="str">
        <f t="array" ref="E93">IF(B93="","",XLOOKUP($B93,Sheet2!$I:$I,Sheet2!$T:$T,""))</f>
        <v/>
      </c>
      <c r="F93" s="4" t="str">
        <f t="array" ref="F93">IF($B93="","",XLOOKUP($B93,Sheet2!$I:$I,Sheet2!$E:$E,""))</f>
        <v/>
      </c>
      <c r="G93" s="4" t="str">
        <f t="array" ref="G93">IF($B93="","",XLOOKUP($B93,Sheet2!$I:$I,Sheet2!$C:$C,""))</f>
        <v/>
      </c>
      <c r="H93" s="4" t="s">
        <v>125</v>
      </c>
      <c r="I93" s="4">
        <v>70.0</v>
      </c>
      <c r="J93" s="4">
        <v>235.0</v>
      </c>
      <c r="K93" s="4" t="s">
        <v>129</v>
      </c>
      <c r="L93" s="9"/>
      <c r="M93" s="9"/>
      <c r="N93" s="9"/>
      <c r="O93" s="9"/>
      <c r="P93" s="9"/>
      <c r="Q93" s="9"/>
      <c r="R93" s="9"/>
      <c r="S93" s="9"/>
      <c r="T93" s="9"/>
      <c r="U93" s="9"/>
      <c r="V93" s="9"/>
      <c r="W93" s="9"/>
      <c r="X93" s="9"/>
      <c r="Y93" s="9"/>
      <c r="Z93" s="9"/>
      <c r="AA93" s="9"/>
      <c r="AB93" s="9"/>
      <c r="AC93" s="9"/>
    </row>
    <row r="94" ht="23.25" customHeight="1">
      <c r="A94" s="4">
        <v>93.0</v>
      </c>
      <c r="B94" s="4">
        <v>1284872.0</v>
      </c>
      <c r="C94" s="5">
        <v>46133.291666666664</v>
      </c>
      <c r="D94" s="5">
        <v>46133.583333333336</v>
      </c>
      <c r="E94" s="4" t="str">
        <f t="array" ref="E94">IF(B94="","",XLOOKUP($B94,Sheet2!$I:$I,Sheet2!$T:$T,""))</f>
        <v/>
      </c>
      <c r="F94" s="4" t="str">
        <f t="array" ref="F94">IF($B94="","",XLOOKUP($B94,Sheet2!$I:$I,Sheet2!$E:$E,""))</f>
        <v/>
      </c>
      <c r="G94" s="4" t="str">
        <f t="array" ref="G94">IF($B94="","",XLOOKUP($B94,Sheet2!$I:$I,Sheet2!$C:$C,""))</f>
        <v/>
      </c>
      <c r="H94" s="4" t="s">
        <v>125</v>
      </c>
      <c r="I94" s="4">
        <v>70.0</v>
      </c>
      <c r="J94" s="4">
        <v>235.0</v>
      </c>
      <c r="K94" s="4" t="s">
        <v>130</v>
      </c>
      <c r="L94" s="9"/>
      <c r="M94" s="9"/>
      <c r="N94" s="9"/>
      <c r="O94" s="9"/>
      <c r="P94" s="9"/>
      <c r="Q94" s="9"/>
      <c r="R94" s="9"/>
      <c r="S94" s="9"/>
      <c r="T94" s="9"/>
      <c r="U94" s="9"/>
      <c r="V94" s="9"/>
      <c r="W94" s="9"/>
      <c r="X94" s="9"/>
      <c r="Y94" s="9"/>
      <c r="Z94" s="9"/>
      <c r="AA94" s="9"/>
      <c r="AB94" s="9"/>
      <c r="AC94" s="9"/>
    </row>
    <row r="95" ht="23.25" customHeight="1">
      <c r="A95" s="4">
        <v>94.0</v>
      </c>
      <c r="B95" s="4">
        <v>1284873.0</v>
      </c>
      <c r="C95" s="5">
        <v>46133.291666666664</v>
      </c>
      <c r="D95" s="5">
        <v>46133.583333333336</v>
      </c>
      <c r="E95" s="4" t="str">
        <f t="array" ref="E95">IF(B95="","",XLOOKUP($B95,Sheet2!$I:$I,Sheet2!$T:$T,""))</f>
        <v/>
      </c>
      <c r="F95" s="4" t="str">
        <f t="array" ref="F95">IF($B95="","",XLOOKUP($B95,Sheet2!$I:$I,Sheet2!$E:$E,""))</f>
        <v/>
      </c>
      <c r="G95" s="4" t="str">
        <f t="array" ref="G95">IF($B95="","",XLOOKUP($B95,Sheet2!$I:$I,Sheet2!$C:$C,""))</f>
        <v/>
      </c>
      <c r="H95" s="4" t="s">
        <v>125</v>
      </c>
      <c r="I95" s="4">
        <v>70.0</v>
      </c>
      <c r="J95" s="4">
        <v>235.0</v>
      </c>
      <c r="K95" s="4" t="s">
        <v>131</v>
      </c>
      <c r="L95" s="9"/>
      <c r="M95" s="9"/>
      <c r="N95" s="9"/>
      <c r="O95" s="9"/>
      <c r="P95" s="9"/>
      <c r="Q95" s="9"/>
      <c r="R95" s="9"/>
      <c r="S95" s="9"/>
      <c r="T95" s="9"/>
      <c r="U95" s="9"/>
      <c r="V95" s="9"/>
      <c r="W95" s="9"/>
      <c r="X95" s="9"/>
      <c r="Y95" s="9"/>
      <c r="Z95" s="9"/>
      <c r="AA95" s="9"/>
      <c r="AB95" s="9"/>
      <c r="AC95" s="9"/>
    </row>
    <row r="96" ht="23.25" customHeight="1">
      <c r="A96" s="4">
        <v>95.0</v>
      </c>
      <c r="B96" s="4">
        <v>1331576.0</v>
      </c>
      <c r="C96" s="5">
        <v>46133.291666666664</v>
      </c>
      <c r="D96" s="5">
        <v>46133.583333333336</v>
      </c>
      <c r="E96" s="4" t="str">
        <f t="array" ref="E96">IF(B96="","",XLOOKUP($B96,Sheet2!$I:$I,Sheet2!$T:$T,""))</f>
        <v/>
      </c>
      <c r="F96" s="4" t="str">
        <f t="array" ref="F96">IF($B96="","",XLOOKUP($B96,Sheet2!$I:$I,Sheet2!$E:$E,""))</f>
        <v/>
      </c>
      <c r="G96" s="4" t="str">
        <f t="array" ref="G96">IF($B96="","",XLOOKUP($B96,Sheet2!$I:$I,Sheet2!$C:$C,""))</f>
        <v/>
      </c>
      <c r="H96" s="4" t="s">
        <v>125</v>
      </c>
      <c r="I96" s="4">
        <v>70.0</v>
      </c>
      <c r="J96" s="4">
        <v>235.0</v>
      </c>
      <c r="K96" s="4" t="s">
        <v>132</v>
      </c>
      <c r="L96" s="9"/>
      <c r="M96" s="9"/>
      <c r="N96" s="9"/>
      <c r="O96" s="9"/>
      <c r="P96" s="9"/>
      <c r="Q96" s="9"/>
      <c r="R96" s="9"/>
      <c r="S96" s="9"/>
      <c r="T96" s="9"/>
      <c r="U96" s="9"/>
      <c r="V96" s="9"/>
      <c r="W96" s="9"/>
      <c r="X96" s="9"/>
      <c r="Y96" s="9"/>
      <c r="Z96" s="9"/>
      <c r="AA96" s="9"/>
      <c r="AB96" s="9"/>
      <c r="AC96" s="9"/>
    </row>
    <row r="97" ht="23.25" customHeight="1">
      <c r="A97" s="4">
        <v>96.0</v>
      </c>
      <c r="B97" s="4">
        <v>1345382.0</v>
      </c>
      <c r="C97" s="5">
        <v>46133.291666666664</v>
      </c>
      <c r="D97" s="5">
        <v>46133.583333333336</v>
      </c>
      <c r="E97" s="4" t="str">
        <f t="array" ref="E97">IF(B97="","",XLOOKUP($B97,Sheet2!$I:$I,Sheet2!$T:$T,""))</f>
        <v/>
      </c>
      <c r="F97" s="4" t="str">
        <f t="array" ref="F97">IF($B97="","",XLOOKUP($B97,Sheet2!$I:$I,Sheet2!$E:$E,""))</f>
        <v/>
      </c>
      <c r="G97" s="4" t="str">
        <f t="array" ref="G97">IF($B97="","",XLOOKUP($B97,Sheet2!$I:$I,Sheet2!$C:$C,""))</f>
        <v/>
      </c>
      <c r="H97" s="4" t="s">
        <v>125</v>
      </c>
      <c r="I97" s="4">
        <v>70.0</v>
      </c>
      <c r="J97" s="4">
        <v>235.0</v>
      </c>
      <c r="K97" s="4" t="s">
        <v>133</v>
      </c>
      <c r="L97" s="9"/>
      <c r="M97" s="9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  <c r="Y97" s="9"/>
      <c r="Z97" s="9"/>
      <c r="AA97" s="9"/>
      <c r="AB97" s="9"/>
      <c r="AC97" s="9"/>
    </row>
    <row r="98" ht="23.25" customHeight="1">
      <c r="A98" s="4">
        <v>97.0</v>
      </c>
      <c r="B98" s="4">
        <v>1348449.0</v>
      </c>
      <c r="C98" s="5">
        <v>46133.291666666664</v>
      </c>
      <c r="D98" s="5">
        <v>46133.583333333336</v>
      </c>
      <c r="E98" s="4" t="str">
        <f t="array" ref="E98">IF(B98="","",XLOOKUP($B98,Sheet2!$I:$I,Sheet2!$T:$T,""))</f>
        <v>ZA70-EXP0235-ITS-IFP-00037</v>
      </c>
      <c r="F98" s="4" t="str">
        <f t="array" ref="F98">IF($B98="","",XLOOKUP($B98,Sheet2!$I:$I,Sheet2!$E:$E,""))</f>
        <v>AKE-P02-ITS-FP15</v>
      </c>
      <c r="G98" s="4" t="str">
        <f t="array" ref="G98">IF($B98="","",XLOOKUP($B98,Sheet2!$I:$I,Sheet2!$C:$C,""))</f>
        <v>51.468959 25.484453</v>
      </c>
      <c r="H98" s="4" t="s">
        <v>125</v>
      </c>
      <c r="I98" s="4">
        <v>70.0</v>
      </c>
      <c r="J98" s="4">
        <v>235.0</v>
      </c>
      <c r="K98" s="4" t="s">
        <v>134</v>
      </c>
      <c r="L98" s="9"/>
      <c r="M98" s="9"/>
      <c r="N98" s="9"/>
      <c r="O98" s="9"/>
      <c r="P98" s="9"/>
      <c r="Q98" s="9"/>
      <c r="R98" s="9"/>
      <c r="S98" s="9"/>
      <c r="T98" s="9"/>
      <c r="U98" s="9"/>
      <c r="V98" s="9"/>
      <c r="W98" s="9"/>
      <c r="X98" s="9"/>
      <c r="Y98" s="9"/>
      <c r="Z98" s="9"/>
      <c r="AA98" s="9"/>
      <c r="AB98" s="9"/>
      <c r="AC98" s="9"/>
    </row>
    <row r="99" ht="23.25" customHeight="1">
      <c r="A99" s="4">
        <v>98.0</v>
      </c>
      <c r="B99" s="4">
        <v>1348541.0</v>
      </c>
      <c r="C99" s="5">
        <v>46133.291666666664</v>
      </c>
      <c r="D99" s="5">
        <v>46133.583333333336</v>
      </c>
      <c r="E99" s="4" t="str">
        <f t="array" ref="E99">IF(B99="","",XLOOKUP($B99,Sheet2!$I:$I,Sheet2!$T:$T,""))</f>
        <v/>
      </c>
      <c r="F99" s="4" t="str">
        <f t="array" ref="F99">IF($B99="","",XLOOKUP($B99,Sheet2!$I:$I,Sheet2!$E:$E,""))</f>
        <v/>
      </c>
      <c r="G99" s="4" t="str">
        <f t="array" ref="G99">IF($B99="","",XLOOKUP($B99,Sheet2!$I:$I,Sheet2!$C:$C,""))</f>
        <v/>
      </c>
      <c r="H99" s="4" t="s">
        <v>125</v>
      </c>
      <c r="I99" s="4">
        <v>70.0</v>
      </c>
      <c r="J99" s="4">
        <v>235.0</v>
      </c>
      <c r="K99" s="4" t="s">
        <v>135</v>
      </c>
      <c r="L99" s="9"/>
      <c r="M99" s="9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  <c r="Y99" s="9"/>
      <c r="Z99" s="9"/>
      <c r="AA99" s="9"/>
      <c r="AB99" s="9"/>
      <c r="AC99" s="9"/>
    </row>
    <row r="100" ht="23.25" customHeight="1">
      <c r="A100" s="4">
        <v>99.0</v>
      </c>
      <c r="B100" s="4">
        <v>1348542.0</v>
      </c>
      <c r="C100" s="5">
        <v>46133.291666666664</v>
      </c>
      <c r="D100" s="5">
        <v>46133.583333333336</v>
      </c>
      <c r="E100" s="4" t="str">
        <f t="array" ref="E100">IF(B100="","",XLOOKUP($B100,Sheet2!$I:$I,Sheet2!$T:$T,""))</f>
        <v/>
      </c>
      <c r="F100" s="4" t="str">
        <f t="array" ref="F100">IF($B100="","",XLOOKUP($B100,Sheet2!$I:$I,Sheet2!$E:$E,""))</f>
        <v/>
      </c>
      <c r="G100" s="4" t="str">
        <f t="array" ref="G100">IF($B100="","",XLOOKUP($B100,Sheet2!$I:$I,Sheet2!$C:$C,""))</f>
        <v/>
      </c>
      <c r="H100" s="4" t="s">
        <v>125</v>
      </c>
      <c r="I100" s="4">
        <v>70.0</v>
      </c>
      <c r="J100" s="4">
        <v>235.0</v>
      </c>
      <c r="K100" s="4" t="s">
        <v>75</v>
      </c>
      <c r="L100" s="9"/>
      <c r="M100" s="9"/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9"/>
      <c r="Y100" s="9"/>
      <c r="Z100" s="9"/>
      <c r="AA100" s="9"/>
      <c r="AB100" s="9"/>
      <c r="AC100" s="9"/>
    </row>
    <row r="101" ht="23.25" customHeight="1">
      <c r="A101" s="4">
        <v>100.0</v>
      </c>
      <c r="B101" s="4">
        <v>1348597.0</v>
      </c>
      <c r="C101" s="5">
        <v>46133.291666666664</v>
      </c>
      <c r="D101" s="5">
        <v>46133.583333333336</v>
      </c>
      <c r="E101" s="4" t="str">
        <f t="array" ref="E101">IF(B101="","",XLOOKUP($B101,Sheet2!$I:$I,Sheet2!$T:$T,""))</f>
        <v/>
      </c>
      <c r="F101" s="4" t="str">
        <f t="array" ref="F101">IF($B101="","",XLOOKUP($B101,Sheet2!$I:$I,Sheet2!$E:$E,""))</f>
        <v/>
      </c>
      <c r="G101" s="4" t="str">
        <f t="array" ref="G101">IF($B101="","",XLOOKUP($B101,Sheet2!$I:$I,Sheet2!$C:$C,""))</f>
        <v/>
      </c>
      <c r="H101" s="4" t="s">
        <v>125</v>
      </c>
      <c r="I101" s="4">
        <v>70.0</v>
      </c>
      <c r="J101" s="4">
        <v>235.0</v>
      </c>
      <c r="K101" s="4" t="s">
        <v>136</v>
      </c>
      <c r="L101" s="9"/>
      <c r="M101" s="9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9"/>
      <c r="Z101" s="9"/>
      <c r="AA101" s="9"/>
      <c r="AB101" s="9"/>
      <c r="AC101" s="9"/>
    </row>
    <row r="102" ht="23.25" customHeight="1">
      <c r="A102" s="4">
        <v>101.0</v>
      </c>
      <c r="B102" s="4">
        <v>1351962.0</v>
      </c>
      <c r="C102" s="5">
        <v>46133.291666666664</v>
      </c>
      <c r="D102" s="5">
        <v>46133.583333333336</v>
      </c>
      <c r="E102" s="4" t="str">
        <f t="array" ref="E102">IF(B102="","",XLOOKUP($B102,Sheet2!$I:$I,Sheet2!$T:$T,""))</f>
        <v/>
      </c>
      <c r="F102" s="4" t="str">
        <f t="array" ref="F102">IF($B102="","",XLOOKUP($B102,Sheet2!$I:$I,Sheet2!$E:$E,""))</f>
        <v/>
      </c>
      <c r="G102" s="4" t="str">
        <f t="array" ref="G102">IF($B102="","",XLOOKUP($B102,Sheet2!$I:$I,Sheet2!$C:$C,""))</f>
        <v/>
      </c>
      <c r="H102" s="4" t="s">
        <v>125</v>
      </c>
      <c r="I102" s="4">
        <v>70.0</v>
      </c>
      <c r="J102" s="4">
        <v>235.0</v>
      </c>
      <c r="K102" s="4" t="s">
        <v>137</v>
      </c>
      <c r="L102" s="9"/>
      <c r="M102" s="9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9"/>
      <c r="Z102" s="9"/>
      <c r="AA102" s="9"/>
      <c r="AB102" s="9"/>
      <c r="AC102" s="9"/>
    </row>
    <row r="103" ht="23.25" customHeight="1">
      <c r="A103" s="4">
        <v>102.0</v>
      </c>
      <c r="B103" s="4">
        <v>1353885.0</v>
      </c>
      <c r="C103" s="5">
        <v>46134.291666666664</v>
      </c>
      <c r="D103" s="5">
        <v>46134.458333333336</v>
      </c>
      <c r="E103" s="4" t="str">
        <f t="array" ref="E103">IF(B103="","",XLOOKUP($B103,Sheet2!$I:$I,Sheet2!$T:$T,""))</f>
        <v/>
      </c>
      <c r="F103" s="4" t="str">
        <f t="array" ref="F103">IF($B103="","",XLOOKUP($B103,Sheet2!$I:$I,Sheet2!$E:$E,""))</f>
        <v/>
      </c>
      <c r="G103" s="4" t="str">
        <f t="array" ref="G103">IF($B103="","",XLOOKUP($B103,Sheet2!$I:$I,Sheet2!$C:$C,""))</f>
        <v/>
      </c>
      <c r="H103" s="4" t="s">
        <v>53</v>
      </c>
      <c r="I103" s="4">
        <v>56.0</v>
      </c>
      <c r="J103" s="4">
        <v>300.0</v>
      </c>
      <c r="K103" s="4" t="s">
        <v>138</v>
      </c>
      <c r="L103" s="9"/>
      <c r="M103" s="9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9"/>
      <c r="Z103" s="9"/>
      <c r="AA103" s="9"/>
      <c r="AB103" s="9"/>
      <c r="AC103" s="9"/>
    </row>
    <row r="104" ht="23.25" customHeight="1">
      <c r="A104" s="4">
        <v>103.0</v>
      </c>
      <c r="B104" s="4">
        <v>1275167.0</v>
      </c>
      <c r="C104" s="5">
        <v>46134.291666666664</v>
      </c>
      <c r="D104" s="5">
        <v>46134.416666666664</v>
      </c>
      <c r="E104" s="4" t="str">
        <f t="array" ref="E104">IF(B104="","",XLOOKUP($B104,Sheet2!$I:$I,Sheet2!$T:$T,""))</f>
        <v/>
      </c>
      <c r="F104" s="4" t="str">
        <f t="array" ref="F104">IF($B104="","",XLOOKUP($B104,Sheet2!$I:$I,Sheet2!$E:$E,""))</f>
        <v/>
      </c>
      <c r="G104" s="4" t="str">
        <f t="array" ref="G104">IF($B104="","",XLOOKUP($B104,Sheet2!$I:$I,Sheet2!$C:$C,""))</f>
        <v/>
      </c>
      <c r="H104" s="4" t="s">
        <v>139</v>
      </c>
      <c r="I104" s="4">
        <v>50.0</v>
      </c>
      <c r="J104" s="4">
        <v>2000.0</v>
      </c>
      <c r="K104" s="4" t="s">
        <v>140</v>
      </c>
      <c r="L104" s="9"/>
      <c r="M104" s="9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9"/>
      <c r="Z104" s="9"/>
      <c r="AA104" s="9"/>
      <c r="AB104" s="9"/>
      <c r="AC104" s="9"/>
    </row>
    <row r="105" ht="23.25" customHeight="1">
      <c r="A105" s="4">
        <v>104.0</v>
      </c>
      <c r="B105" s="4">
        <v>1275272.0</v>
      </c>
      <c r="C105" s="5">
        <v>46134.291666666664</v>
      </c>
      <c r="D105" s="5">
        <v>46134.416666666664</v>
      </c>
      <c r="E105" s="4" t="str">
        <f t="array" ref="E105">IF(B105="","",XLOOKUP($B105,Sheet2!$I:$I,Sheet2!$T:$T,""))</f>
        <v/>
      </c>
      <c r="F105" s="4" t="str">
        <f t="array" ref="F105">IF($B105="","",XLOOKUP($B105,Sheet2!$I:$I,Sheet2!$E:$E,""))</f>
        <v/>
      </c>
      <c r="G105" s="4" t="str">
        <f t="array" ref="G105">IF($B105="","",XLOOKUP($B105,Sheet2!$I:$I,Sheet2!$C:$C,""))</f>
        <v/>
      </c>
      <c r="H105" s="4" t="s">
        <v>139</v>
      </c>
      <c r="I105" s="4">
        <v>50.0</v>
      </c>
      <c r="J105" s="4">
        <v>2000.0</v>
      </c>
      <c r="K105" s="4" t="s">
        <v>141</v>
      </c>
      <c r="L105" s="9"/>
      <c r="M105" s="9"/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9"/>
      <c r="Y105" s="9"/>
      <c r="Z105" s="9"/>
      <c r="AA105" s="9"/>
      <c r="AB105" s="9"/>
      <c r="AC105" s="9"/>
    </row>
    <row r="106" ht="23.25" customHeight="1">
      <c r="A106" s="4">
        <v>105.0</v>
      </c>
      <c r="B106" s="4">
        <v>1275334.0</v>
      </c>
      <c r="C106" s="5">
        <v>46134.291666666664</v>
      </c>
      <c r="D106" s="5">
        <v>46134.416666666664</v>
      </c>
      <c r="E106" s="4" t="str">
        <f t="array" ref="E106">IF(B106="","",XLOOKUP($B106,Sheet2!$I:$I,Sheet2!$T:$T,""))</f>
        <v/>
      </c>
      <c r="F106" s="4" t="str">
        <f t="array" ref="F106">IF($B106="","",XLOOKUP($B106,Sheet2!$I:$I,Sheet2!$E:$E,""))</f>
        <v/>
      </c>
      <c r="G106" s="4" t="str">
        <f t="array" ref="G106">IF($B106="","",XLOOKUP($B106,Sheet2!$I:$I,Sheet2!$C:$C,""))</f>
        <v/>
      </c>
      <c r="H106" s="4" t="s">
        <v>139</v>
      </c>
      <c r="I106" s="4">
        <v>50.0</v>
      </c>
      <c r="J106" s="4">
        <v>2000.0</v>
      </c>
      <c r="K106" s="4" t="s">
        <v>142</v>
      </c>
      <c r="L106" s="9"/>
      <c r="M106" s="9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9"/>
      <c r="Y106" s="9"/>
      <c r="Z106" s="9"/>
      <c r="AA106" s="9"/>
      <c r="AB106" s="9"/>
      <c r="AC106" s="9"/>
    </row>
    <row r="107" ht="23.25" customHeight="1">
      <c r="A107" s="4">
        <v>106.0</v>
      </c>
      <c r="B107" s="4">
        <v>1275335.0</v>
      </c>
      <c r="C107" s="5">
        <v>46134.291666666664</v>
      </c>
      <c r="D107" s="5">
        <v>46134.416666666664</v>
      </c>
      <c r="E107" s="4" t="str">
        <f t="array" ref="E107">IF(B107="","",XLOOKUP($B107,Sheet2!$I:$I,Sheet2!$T:$T,""))</f>
        <v/>
      </c>
      <c r="F107" s="4" t="str">
        <f t="array" ref="F107">IF($B107="","",XLOOKUP($B107,Sheet2!$I:$I,Sheet2!$E:$E,""))</f>
        <v/>
      </c>
      <c r="G107" s="4" t="str">
        <f t="array" ref="G107">IF($B107="","",XLOOKUP($B107,Sheet2!$I:$I,Sheet2!$C:$C,""))</f>
        <v/>
      </c>
      <c r="H107" s="4" t="s">
        <v>139</v>
      </c>
      <c r="I107" s="4">
        <v>50.0</v>
      </c>
      <c r="J107" s="4">
        <v>2000.0</v>
      </c>
      <c r="K107" s="4" t="s">
        <v>143</v>
      </c>
      <c r="L107" s="9"/>
      <c r="M107" s="9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  <c r="Y107" s="9"/>
      <c r="Z107" s="9"/>
      <c r="AA107" s="9"/>
      <c r="AB107" s="9"/>
      <c r="AC107" s="9"/>
    </row>
    <row r="108" ht="23.25" customHeight="1">
      <c r="A108" s="4">
        <v>107.0</v>
      </c>
      <c r="B108" s="4">
        <v>1390610.0</v>
      </c>
      <c r="C108" s="5">
        <v>46134.291666666664</v>
      </c>
      <c r="D108" s="5">
        <v>46134.416666666664</v>
      </c>
      <c r="E108" s="4" t="str">
        <f t="array" ref="E108">IF(B108="","",XLOOKUP($B108,Sheet2!$I:$I,Sheet2!$T:$T,""))</f>
        <v>DA50-EXP2000-ITS-IFP-14101</v>
      </c>
      <c r="F108" s="4" t="str">
        <f t="array" ref="F108">IF($B108="","",XLOOKUP($B108,Sheet2!$I:$I,Sheet2!$E:$E,""))</f>
        <v>ITS-FP-34</v>
      </c>
      <c r="G108" s="4" t="str">
        <f t="array" ref="G108">IF($B108="","",XLOOKUP($B108,Sheet2!$I:$I,Sheet2!$C:$C,""))</f>
        <v>51.563659 25.21354</v>
      </c>
      <c r="H108" s="4" t="s">
        <v>139</v>
      </c>
      <c r="I108" s="4">
        <v>50.0</v>
      </c>
      <c r="J108" s="4">
        <v>2000.0</v>
      </c>
      <c r="K108" s="4" t="s">
        <v>144</v>
      </c>
      <c r="L108" s="9"/>
      <c r="M108" s="9"/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9"/>
      <c r="Y108" s="9"/>
      <c r="Z108" s="9"/>
      <c r="AA108" s="9"/>
      <c r="AB108" s="9"/>
      <c r="AC108" s="9"/>
    </row>
    <row r="109" ht="23.25" customHeight="1">
      <c r="A109" s="4">
        <v>108.0</v>
      </c>
      <c r="B109" s="4">
        <v>1390611.0</v>
      </c>
      <c r="C109" s="5">
        <v>46134.291666666664</v>
      </c>
      <c r="D109" s="5">
        <v>46134.416666666664</v>
      </c>
      <c r="E109" s="4" t="str">
        <f t="array" ref="E109">IF(B109="","",XLOOKUP($B109,Sheet2!$I:$I,Sheet2!$T:$T,""))</f>
        <v>DA50-EXP2000-ITS-IFP-14202</v>
      </c>
      <c r="F109" s="4" t="str">
        <f t="array" ref="F109">IF($B109="","",XLOOKUP($B109,Sheet2!$I:$I,Sheet2!$E:$E,""))</f>
        <v>ITS-FP-35</v>
      </c>
      <c r="G109" s="4" t="str">
        <f t="array" ref="G109">IF($B109="","",XLOOKUP($B109,Sheet2!$I:$I,Sheet2!$C:$C,""))</f>
        <v>51.565632 25.213129</v>
      </c>
      <c r="H109" s="4" t="s">
        <v>139</v>
      </c>
      <c r="I109" s="4">
        <v>50.0</v>
      </c>
      <c r="J109" s="4">
        <v>2000.0</v>
      </c>
      <c r="K109" s="4" t="s">
        <v>145</v>
      </c>
      <c r="L109" s="9"/>
      <c r="M109" s="9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9"/>
      <c r="Y109" s="9"/>
      <c r="Z109" s="9"/>
      <c r="AA109" s="9"/>
      <c r="AB109" s="9"/>
      <c r="AC109" s="9"/>
    </row>
    <row r="110" ht="23.25" customHeight="1">
      <c r="A110" s="4">
        <v>109.0</v>
      </c>
      <c r="B110" s="4">
        <v>1390612.0</v>
      </c>
      <c r="C110" s="5">
        <v>46134.291666666664</v>
      </c>
      <c r="D110" s="5">
        <v>46134.416666666664</v>
      </c>
      <c r="E110" s="4" t="str">
        <f t="array" ref="E110">IF(B110="","",XLOOKUP($B110,Sheet2!$I:$I,Sheet2!$T:$T,""))</f>
        <v>DA50-EXP2000-ITS-IFP-14301</v>
      </c>
      <c r="F110" s="4" t="str">
        <f t="array" ref="F110">IF($B110="","",XLOOKUP($B110,Sheet2!$I:$I,Sheet2!$E:$E,""))</f>
        <v>ITS-FP-36A</v>
      </c>
      <c r="G110" s="4" t="str">
        <f t="array" ref="G110">IF($B110="","",XLOOKUP($B110,Sheet2!$I:$I,Sheet2!$C:$C,""))</f>
        <v>51.56632 25.215396</v>
      </c>
      <c r="H110" s="4" t="s">
        <v>139</v>
      </c>
      <c r="I110" s="4">
        <v>50.0</v>
      </c>
      <c r="J110" s="4">
        <v>2000.0</v>
      </c>
      <c r="K110" s="4" t="s">
        <v>146</v>
      </c>
      <c r="L110" s="9"/>
      <c r="M110" s="9"/>
      <c r="N110" s="9"/>
      <c r="O110" s="9"/>
      <c r="P110" s="9"/>
      <c r="Q110" s="9"/>
      <c r="R110" s="9"/>
      <c r="S110" s="9"/>
      <c r="T110" s="9"/>
      <c r="U110" s="9"/>
      <c r="V110" s="9"/>
      <c r="W110" s="9"/>
      <c r="X110" s="9"/>
      <c r="Y110" s="9"/>
      <c r="Z110" s="9"/>
      <c r="AA110" s="9"/>
      <c r="AB110" s="9"/>
      <c r="AC110" s="9"/>
    </row>
    <row r="111" ht="23.25" customHeight="1">
      <c r="A111" s="4">
        <v>110.0</v>
      </c>
      <c r="B111" s="4">
        <v>1353595.0</v>
      </c>
      <c r="C111" s="5">
        <v>46135.270833333336</v>
      </c>
      <c r="D111" s="5">
        <v>46135.583333333336</v>
      </c>
      <c r="E111" s="4" t="str">
        <f t="array" ref="E111">IF(B111="","",XLOOKUP($B111,Sheet2!$I:$I,Sheet2!$T:$T,""))</f>
        <v/>
      </c>
      <c r="F111" s="4" t="str">
        <f t="array" ref="F111">IF($B111="","",XLOOKUP($B111,Sheet2!$I:$I,Sheet2!$E:$E,""))</f>
        <v/>
      </c>
      <c r="G111" s="4" t="str">
        <f t="array" ref="G111">IF($B111="","",XLOOKUP($B111,Sheet2!$I:$I,Sheet2!$C:$C,""))</f>
        <v/>
      </c>
      <c r="H111" s="4" t="s">
        <v>147</v>
      </c>
      <c r="I111" s="4">
        <v>45.0</v>
      </c>
      <c r="J111" s="4">
        <v>766.0</v>
      </c>
      <c r="K111" s="4" t="s">
        <v>148</v>
      </c>
      <c r="L111" s="9"/>
      <c r="M111" s="9"/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9"/>
      <c r="Y111" s="9"/>
      <c r="Z111" s="9"/>
      <c r="AA111" s="9"/>
      <c r="AB111" s="9"/>
      <c r="AC111" s="9"/>
    </row>
    <row r="112" ht="23.25" customHeight="1">
      <c r="A112" s="4">
        <v>111.0</v>
      </c>
      <c r="B112" s="4">
        <v>1353144.0</v>
      </c>
      <c r="C112" s="5">
        <v>46135.291666666664</v>
      </c>
      <c r="D112" s="5">
        <v>46135.583333333336</v>
      </c>
      <c r="E112" s="4" t="str">
        <f t="array" ref="E112">IF(B112="","",XLOOKUP($B112,Sheet2!$I:$I,Sheet2!$T:$T,""))</f>
        <v/>
      </c>
      <c r="F112" s="4" t="str">
        <f t="array" ref="F112">IF($B112="","",XLOOKUP($B112,Sheet2!$I:$I,Sheet2!$E:$E,""))</f>
        <v/>
      </c>
      <c r="G112" s="4" t="str">
        <f t="array" ref="G112">IF($B112="","",XLOOKUP($B112,Sheet2!$I:$I,Sheet2!$C:$C,""))</f>
        <v/>
      </c>
      <c r="H112" s="4" t="s">
        <v>125</v>
      </c>
      <c r="I112" s="4">
        <v>70.0</v>
      </c>
      <c r="J112" s="4">
        <v>815.0</v>
      </c>
      <c r="K112" s="4" t="s">
        <v>149</v>
      </c>
      <c r="L112" s="9"/>
      <c r="M112" s="9"/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9"/>
      <c r="Y112" s="9"/>
      <c r="Z112" s="9"/>
      <c r="AA112" s="9"/>
      <c r="AB112" s="9"/>
      <c r="AC112" s="9"/>
    </row>
    <row r="113" ht="23.25" customHeight="1">
      <c r="A113" s="4">
        <v>112.0</v>
      </c>
      <c r="B113" s="4">
        <v>1288580.0</v>
      </c>
      <c r="C113" s="5">
        <v>46135.291666666664</v>
      </c>
      <c r="D113" s="5">
        <v>46135.583333333336</v>
      </c>
      <c r="E113" s="4" t="str">
        <f t="array" ref="E113">IF(B113="","",XLOOKUP($B113,Sheet2!$I:$I,Sheet2!$T:$T,""))</f>
        <v/>
      </c>
      <c r="F113" s="4" t="str">
        <f t="array" ref="F113">IF($B113="","",XLOOKUP($B113,Sheet2!$I:$I,Sheet2!$E:$E,""))</f>
        <v/>
      </c>
      <c r="G113" s="4" t="str">
        <f t="array" ref="G113">IF($B113="","",XLOOKUP($B113,Sheet2!$I:$I,Sheet2!$C:$C,""))</f>
        <v/>
      </c>
      <c r="H113" s="4" t="s">
        <v>125</v>
      </c>
      <c r="I113" s="4">
        <v>70.0</v>
      </c>
      <c r="J113" s="4">
        <v>815.0</v>
      </c>
      <c r="K113" s="4" t="s">
        <v>150</v>
      </c>
      <c r="L113" s="9"/>
      <c r="M113" s="9"/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9"/>
      <c r="Y113" s="9"/>
      <c r="Z113" s="9"/>
      <c r="AA113" s="9"/>
      <c r="AB113" s="9"/>
      <c r="AC113" s="9"/>
    </row>
    <row r="114" ht="23.25" customHeight="1">
      <c r="A114" s="4">
        <v>113.0</v>
      </c>
      <c r="B114" s="4">
        <v>906150.0</v>
      </c>
      <c r="C114" s="5">
        <v>46135.291666666664</v>
      </c>
      <c r="D114" s="5">
        <v>46135.5</v>
      </c>
      <c r="E114" s="4" t="str">
        <f t="array" ref="E114">IF(B114="","",XLOOKUP($B114,Sheet2!$I:$I,Sheet2!$T:$T,""))</f>
        <v/>
      </c>
      <c r="F114" s="4" t="str">
        <f t="array" ref="F114">IF($B114="","",XLOOKUP($B114,Sheet2!$I:$I,Sheet2!$E:$E,""))</f>
        <v/>
      </c>
      <c r="G114" s="4" t="str">
        <f t="array" ref="G114">IF($B114="","",XLOOKUP($B114,Sheet2!$I:$I,Sheet2!$C:$C,""))</f>
        <v/>
      </c>
      <c r="H114" s="4" t="s">
        <v>151</v>
      </c>
      <c r="I114" s="4">
        <v>53.0</v>
      </c>
      <c r="J114" s="4">
        <v>940.0</v>
      </c>
      <c r="K114" s="4" t="s">
        <v>152</v>
      </c>
      <c r="L114" s="9"/>
      <c r="M114" s="9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9"/>
      <c r="Z114" s="9"/>
      <c r="AA114" s="9"/>
      <c r="AB114" s="9"/>
      <c r="AC114" s="9"/>
    </row>
    <row r="115" ht="23.25" customHeight="1">
      <c r="A115" s="4">
        <v>114.0</v>
      </c>
      <c r="B115" s="4">
        <v>905983.0</v>
      </c>
      <c r="C115" s="5">
        <v>46135.291666666664</v>
      </c>
      <c r="D115" s="5">
        <v>46135.5</v>
      </c>
      <c r="E115" s="4" t="str">
        <f t="array" ref="E115">IF(B115="","",XLOOKUP($B115,Sheet2!$I:$I,Sheet2!$T:$T,""))</f>
        <v/>
      </c>
      <c r="F115" s="4" t="str">
        <f t="array" ref="F115">IF($B115="","",XLOOKUP($B115,Sheet2!$I:$I,Sheet2!$E:$E,""))</f>
        <v/>
      </c>
      <c r="G115" s="4" t="str">
        <f t="array" ref="G115">IF($B115="","",XLOOKUP($B115,Sheet2!$I:$I,Sheet2!$C:$C,""))</f>
        <v/>
      </c>
      <c r="H115" s="4" t="s">
        <v>151</v>
      </c>
      <c r="I115" s="4">
        <v>53.0</v>
      </c>
      <c r="J115" s="4">
        <v>940.0</v>
      </c>
      <c r="K115" s="4" t="s">
        <v>153</v>
      </c>
      <c r="L115" s="9"/>
      <c r="M115" s="9"/>
      <c r="N115" s="9"/>
      <c r="O115" s="9"/>
      <c r="P115" s="9"/>
      <c r="Q115" s="9"/>
      <c r="R115" s="9"/>
      <c r="S115" s="9"/>
      <c r="T115" s="9"/>
      <c r="U115" s="9"/>
      <c r="V115" s="9"/>
      <c r="W115" s="9"/>
      <c r="X115" s="9"/>
      <c r="Y115" s="9"/>
      <c r="Z115" s="9"/>
      <c r="AA115" s="9"/>
      <c r="AB115" s="9"/>
      <c r="AC115" s="9"/>
    </row>
    <row r="116" ht="23.25" customHeight="1">
      <c r="A116" s="10">
        <v>115.0</v>
      </c>
      <c r="B116" s="4">
        <v>1419492.0</v>
      </c>
      <c r="C116" s="5">
        <v>46135.291666666664</v>
      </c>
      <c r="D116" s="5">
        <v>46135.583333333336</v>
      </c>
      <c r="E116" s="4" t="str">
        <f t="array" ref="E116">IF(B116="","",XLOOKUP($B116,Sheet2!$I:$I,Sheet2!$T:$T,""))</f>
        <v/>
      </c>
      <c r="F116" s="4" t="str">
        <f t="array" ref="F116">IF($B116="","",XLOOKUP($B116,Sheet2!$I:$I,Sheet2!$E:$E,""))</f>
        <v/>
      </c>
      <c r="G116" s="4" t="str">
        <f t="array" ref="G116">IF($B116="","",XLOOKUP($B116,Sheet2!$I:$I,Sheet2!$C:$C,""))</f>
        <v/>
      </c>
      <c r="H116" s="4" t="s">
        <v>18</v>
      </c>
      <c r="I116" s="4">
        <v>71.0</v>
      </c>
      <c r="J116" s="4">
        <v>363.0</v>
      </c>
      <c r="K116" s="4" t="s">
        <v>154</v>
      </c>
      <c r="L116" s="9"/>
      <c r="M116" s="9"/>
      <c r="N116" s="9"/>
      <c r="O116" s="9"/>
      <c r="P116" s="9"/>
      <c r="Q116" s="9"/>
      <c r="R116" s="9"/>
      <c r="S116" s="9"/>
      <c r="T116" s="9"/>
      <c r="U116" s="9"/>
      <c r="V116" s="9"/>
      <c r="W116" s="9"/>
      <c r="X116" s="9"/>
      <c r="Y116" s="9"/>
      <c r="Z116" s="9"/>
      <c r="AA116" s="9"/>
      <c r="AB116" s="9"/>
      <c r="AC116" s="9"/>
    </row>
    <row r="117" ht="23.25" customHeight="1">
      <c r="A117" s="10">
        <v>116.0</v>
      </c>
      <c r="B117" s="4">
        <v>1042227.0</v>
      </c>
      <c r="C117" s="5">
        <v>46138.270833333336</v>
      </c>
      <c r="D117" s="5">
        <v>46138.583333333336</v>
      </c>
      <c r="E117" s="4" t="str">
        <f t="array" ref="E117">IF(B117="","",XLOOKUP($B117,Sheet2!$I:$I,Sheet2!$T:$T,""))</f>
        <v/>
      </c>
      <c r="F117" s="4" t="str">
        <f t="array" ref="F117">IF($B117="","",XLOOKUP($B117,Sheet2!$I:$I,Sheet2!$E:$E,""))</f>
        <v/>
      </c>
      <c r="G117" s="4" t="str">
        <f t="array" ref="G117">IF($B117="","",XLOOKUP($B117,Sheet2!$I:$I,Sheet2!$C:$C,""))</f>
        <v/>
      </c>
      <c r="H117" s="4" t="s">
        <v>155</v>
      </c>
      <c r="I117" s="4">
        <v>80.0</v>
      </c>
      <c r="J117" s="4">
        <v>373.0</v>
      </c>
      <c r="K117" s="4" t="s">
        <v>156</v>
      </c>
      <c r="L117" s="9"/>
      <c r="M117" s="9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9"/>
      <c r="Y117" s="9"/>
      <c r="Z117" s="9"/>
      <c r="AA117" s="9"/>
      <c r="AB117" s="9"/>
      <c r="AC117" s="9"/>
    </row>
    <row r="118" ht="23.25" customHeight="1">
      <c r="A118" s="10">
        <v>117.0</v>
      </c>
      <c r="B118" s="4">
        <v>1461134.0</v>
      </c>
      <c r="C118" s="5">
        <v>46138.291666666664</v>
      </c>
      <c r="D118" s="5">
        <v>46138.583333333336</v>
      </c>
      <c r="E118" s="4" t="str">
        <f t="array" ref="E118">IF(B118="","",XLOOKUP($B118,Sheet2!$I:$I,Sheet2!$T:$T,""))</f>
        <v/>
      </c>
      <c r="F118" s="4" t="str">
        <f t="array" ref="F118">IF($B118="","",XLOOKUP($B118,Sheet2!$I:$I,Sheet2!$E:$E,""))</f>
        <v/>
      </c>
      <c r="G118" s="4" t="str">
        <f t="array" ref="G118">IF($B118="","",XLOOKUP($B118,Sheet2!$I:$I,Sheet2!$C:$C,""))</f>
        <v/>
      </c>
      <c r="H118" s="4" t="s">
        <v>53</v>
      </c>
      <c r="I118" s="4">
        <v>56.0</v>
      </c>
      <c r="J118" s="4">
        <v>351.0</v>
      </c>
      <c r="K118" s="4" t="s">
        <v>157</v>
      </c>
      <c r="L118" s="9"/>
      <c r="M118" s="9"/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9"/>
      <c r="Y118" s="9"/>
      <c r="Z118" s="9"/>
      <c r="AA118" s="9"/>
      <c r="AB118" s="9"/>
      <c r="AC118" s="9"/>
    </row>
    <row r="119" ht="23.25" customHeight="1">
      <c r="A119" s="10">
        <v>118.0</v>
      </c>
      <c r="B119" s="4">
        <v>1349278.0</v>
      </c>
      <c r="C119" s="5">
        <v>46142.3125</v>
      </c>
      <c r="D119" s="5">
        <v>46142.604166666664</v>
      </c>
      <c r="E119" s="4" t="str">
        <f t="array" ref="E119">IF(B119="","",XLOOKUP($B119,Sheet2!$I:$I,Sheet2!$T:$T,""))</f>
        <v/>
      </c>
      <c r="F119" s="4" t="str">
        <f t="array" ref="F119">IF($B119="","",XLOOKUP($B119,Sheet2!$I:$I,Sheet2!$E:$E,""))</f>
        <v/>
      </c>
      <c r="G119" s="4" t="str">
        <f t="array" ref="G119">IF($B119="","",XLOOKUP($B119,Sheet2!$I:$I,Sheet2!$C:$C,""))</f>
        <v/>
      </c>
      <c r="H119" s="4" t="s">
        <v>16</v>
      </c>
      <c r="I119" s="4">
        <v>57.0</v>
      </c>
      <c r="J119" s="4">
        <v>10.0</v>
      </c>
      <c r="K119" s="4" t="s">
        <v>158</v>
      </c>
      <c r="L119" s="9"/>
      <c r="M119" s="9"/>
      <c r="N119" s="9"/>
      <c r="O119" s="9"/>
      <c r="P119" s="9"/>
      <c r="Q119" s="9"/>
      <c r="R119" s="9"/>
      <c r="S119" s="9"/>
      <c r="T119" s="9"/>
      <c r="U119" s="9"/>
      <c r="V119" s="9"/>
      <c r="W119" s="9"/>
      <c r="X119" s="9"/>
      <c r="Y119" s="9"/>
      <c r="Z119" s="9"/>
      <c r="AA119" s="9"/>
      <c r="AB119" s="9"/>
      <c r="AC119" s="9"/>
    </row>
    <row r="120" ht="23.25" customHeight="1">
      <c r="A120" s="10">
        <v>118.0</v>
      </c>
      <c r="B120" s="4">
        <v>1241913.0</v>
      </c>
      <c r="C120" s="5">
        <v>46142.416666666664</v>
      </c>
      <c r="D120" s="5">
        <v>46142.583333333336</v>
      </c>
      <c r="E120" s="4" t="str">
        <f t="array" ref="E120">IF(B120="","",XLOOKUP($B120,Sheet2!$I:$I,Sheet2!$T:$T,""))</f>
        <v/>
      </c>
      <c r="F120" s="4" t="str">
        <f t="array" ref="F120">IF($B120="","",XLOOKUP($B120,Sheet2!$I:$I,Sheet2!$E:$E,""))</f>
        <v/>
      </c>
      <c r="G120" s="4" t="str">
        <f t="array" ref="G120">IF($B120="","",XLOOKUP($B120,Sheet2!$I:$I,Sheet2!$C:$C,""))</f>
        <v/>
      </c>
      <c r="H120" s="4" t="s">
        <v>16</v>
      </c>
      <c r="I120" s="4">
        <v>57.0</v>
      </c>
      <c r="J120" s="4">
        <v>33.0</v>
      </c>
      <c r="K120" s="4" t="s">
        <v>159</v>
      </c>
      <c r="L120" s="9"/>
      <c r="M120" s="9"/>
      <c r="N120" s="9"/>
      <c r="O120" s="9"/>
      <c r="P120" s="9"/>
      <c r="Q120" s="9"/>
      <c r="R120" s="9"/>
      <c r="S120" s="9"/>
      <c r="T120" s="9"/>
      <c r="U120" s="9"/>
      <c r="V120" s="9"/>
      <c r="W120" s="9"/>
      <c r="X120" s="9"/>
      <c r="Y120" s="9"/>
      <c r="Z120" s="9"/>
      <c r="AA120" s="9"/>
      <c r="AB120" s="9"/>
      <c r="AC120" s="9"/>
    </row>
    <row r="121" ht="23.25" customHeight="1">
      <c r="A121" s="10">
        <v>119.0</v>
      </c>
      <c r="B121" s="4">
        <v>1390092.0</v>
      </c>
      <c r="C121" s="5">
        <v>46142.416666666664</v>
      </c>
      <c r="D121" s="5">
        <v>46142.583333333336</v>
      </c>
      <c r="E121" s="4" t="str">
        <f t="array" ref="E121">IF(B121="","",XLOOKUP($B121,Sheet2!$I:$I,Sheet2!$T:$T,""))</f>
        <v/>
      </c>
      <c r="F121" s="4" t="str">
        <f t="array" ref="F121">IF($B121="","",XLOOKUP($B121,Sheet2!$I:$I,Sheet2!$E:$E,""))</f>
        <v/>
      </c>
      <c r="G121" s="4" t="str">
        <f t="array" ref="G121">IF($B121="","",XLOOKUP($B121,Sheet2!$I:$I,Sheet2!$C:$C,""))</f>
        <v/>
      </c>
      <c r="H121" s="4" t="s">
        <v>16</v>
      </c>
      <c r="I121" s="4">
        <v>57.0</v>
      </c>
      <c r="J121" s="4">
        <v>105.0</v>
      </c>
      <c r="K121" s="4" t="s">
        <v>160</v>
      </c>
      <c r="L121" s="9"/>
      <c r="M121" s="9"/>
      <c r="N121" s="9"/>
      <c r="O121" s="9"/>
      <c r="P121" s="9"/>
      <c r="Q121" s="9"/>
      <c r="R121" s="9"/>
      <c r="S121" s="9"/>
      <c r="T121" s="9"/>
      <c r="U121" s="9"/>
      <c r="V121" s="9"/>
      <c r="W121" s="9"/>
      <c r="X121" s="9"/>
      <c r="Y121" s="9"/>
      <c r="Z121" s="9"/>
      <c r="AA121" s="9"/>
      <c r="AB121" s="9"/>
      <c r="AC121" s="9"/>
    </row>
    <row r="122" ht="23.25" customHeight="1">
      <c r="A122" s="10">
        <v>120.0</v>
      </c>
      <c r="B122" s="4">
        <v>1413403.0</v>
      </c>
      <c r="C122" s="5">
        <v>46142.291666666664</v>
      </c>
      <c r="D122" s="5">
        <v>46142.5</v>
      </c>
      <c r="E122" s="4" t="str">
        <f t="array" ref="E122">IF(B122="","",XLOOKUP($B122,Sheet2!$I:$I,Sheet2!$T:$T,""))</f>
        <v/>
      </c>
      <c r="F122" s="4" t="str">
        <f t="array" ref="F122">IF($B122="","",XLOOKUP($B122,Sheet2!$I:$I,Sheet2!$E:$E,""))</f>
        <v/>
      </c>
      <c r="G122" s="4" t="str">
        <f t="array" ref="G122">IF($B122="","",XLOOKUP($B122,Sheet2!$I:$I,Sheet2!$C:$C,""))</f>
        <v/>
      </c>
      <c r="H122" s="4" t="s">
        <v>161</v>
      </c>
      <c r="I122" s="4">
        <v>25.0</v>
      </c>
      <c r="J122" s="4">
        <v>220.0</v>
      </c>
      <c r="K122" s="4" t="s">
        <v>162</v>
      </c>
      <c r="L122" s="9"/>
      <c r="M122" s="9"/>
      <c r="N122" s="9"/>
      <c r="O122" s="9"/>
      <c r="P122" s="9"/>
      <c r="Q122" s="9"/>
      <c r="R122" s="9"/>
      <c r="S122" s="9"/>
      <c r="T122" s="9"/>
      <c r="U122" s="9"/>
      <c r="V122" s="9"/>
      <c r="W122" s="9"/>
      <c r="X122" s="9"/>
      <c r="Y122" s="9"/>
      <c r="Z122" s="9"/>
      <c r="AA122" s="9"/>
      <c r="AB122" s="9"/>
      <c r="AC122" s="9"/>
    </row>
    <row r="123" ht="23.25" customHeight="1">
      <c r="A123" s="10">
        <v>121.0</v>
      </c>
      <c r="B123" s="4">
        <v>1239758.0</v>
      </c>
      <c r="C123" s="5">
        <v>46142.4375</v>
      </c>
      <c r="D123" s="5">
        <v>46142.104166666664</v>
      </c>
      <c r="E123" s="4" t="str">
        <f t="array" ref="E123">IF(B123="","",XLOOKUP($B123,Sheet2!$I:$I,Sheet2!$T:$T,""))</f>
        <v/>
      </c>
      <c r="F123" s="4" t="str">
        <f t="array" ref="F123">IF($B123="","",XLOOKUP($B123,Sheet2!$I:$I,Sheet2!$E:$E,""))</f>
        <v/>
      </c>
      <c r="G123" s="4" t="str">
        <f t="array" ref="G123">IF($B123="","",XLOOKUP($B123,Sheet2!$I:$I,Sheet2!$C:$C,""))</f>
        <v/>
      </c>
      <c r="H123" s="4" t="s">
        <v>32</v>
      </c>
      <c r="I123" s="4">
        <v>91.0</v>
      </c>
      <c r="J123" s="4">
        <v>950.0</v>
      </c>
      <c r="K123" s="4" t="s">
        <v>163</v>
      </c>
      <c r="L123" s="9"/>
      <c r="M123" s="9"/>
      <c r="N123" s="9"/>
      <c r="O123" s="9"/>
      <c r="P123" s="9"/>
      <c r="Q123" s="9"/>
      <c r="R123" s="9"/>
      <c r="S123" s="9"/>
      <c r="T123" s="9"/>
      <c r="U123" s="9"/>
      <c r="V123" s="9"/>
      <c r="W123" s="9"/>
      <c r="X123" s="9"/>
      <c r="Y123" s="9"/>
      <c r="Z123" s="9"/>
      <c r="AA123" s="9"/>
      <c r="AB123" s="9"/>
      <c r="AC123" s="9"/>
    </row>
    <row r="124" ht="23.25" customHeight="1">
      <c r="A124" s="10">
        <v>122.0</v>
      </c>
      <c r="B124" s="4">
        <v>1348686.0</v>
      </c>
      <c r="C124" s="5">
        <v>46142.4375</v>
      </c>
      <c r="D124" s="5">
        <v>46142.104166666664</v>
      </c>
      <c r="E124" s="4" t="str">
        <f t="array" ref="E124">IF(B124="","",XLOOKUP($B124,Sheet2!$I:$I,Sheet2!$T:$T,""))</f>
        <v/>
      </c>
      <c r="F124" s="4" t="str">
        <f t="array" ref="F124">IF($B124="","",XLOOKUP($B124,Sheet2!$I:$I,Sheet2!$E:$E,""))</f>
        <v/>
      </c>
      <c r="G124" s="4" t="str">
        <f t="array" ref="G124">IF($B124="","",XLOOKUP($B124,Sheet2!$I:$I,Sheet2!$C:$C,""))</f>
        <v/>
      </c>
      <c r="H124" s="4" t="s">
        <v>32</v>
      </c>
      <c r="I124" s="4">
        <v>91.0</v>
      </c>
      <c r="J124" s="4">
        <v>950.0</v>
      </c>
      <c r="K124" s="4" t="s">
        <v>164</v>
      </c>
      <c r="L124" s="9"/>
      <c r="M124" s="9"/>
      <c r="N124" s="9"/>
      <c r="O124" s="9"/>
      <c r="P124" s="9"/>
      <c r="Q124" s="9"/>
      <c r="R124" s="9"/>
      <c r="S124" s="9"/>
      <c r="T124" s="9"/>
      <c r="U124" s="9"/>
      <c r="V124" s="9"/>
      <c r="W124" s="9"/>
      <c r="X124" s="9"/>
      <c r="Y124" s="9"/>
      <c r="Z124" s="9"/>
      <c r="AA124" s="9"/>
      <c r="AB124" s="9"/>
      <c r="AC124" s="9"/>
    </row>
    <row r="125" ht="23.25" customHeight="1">
      <c r="A125" s="10">
        <v>123.0</v>
      </c>
      <c r="B125" s="4">
        <v>1361871.0</v>
      </c>
      <c r="C125" s="5">
        <v>46145.291666666664</v>
      </c>
      <c r="D125" s="5">
        <v>46145.458333333336</v>
      </c>
      <c r="E125" s="4" t="str">
        <f t="array" ref="E125">IF(B125="","",XLOOKUP($B125,Sheet2!$I:$I,Sheet2!$T:$T,""))</f>
        <v/>
      </c>
      <c r="F125" s="4" t="str">
        <f t="array" ref="F125">IF($B125="","",XLOOKUP($B125,Sheet2!$I:$I,Sheet2!$E:$E,""))</f>
        <v/>
      </c>
      <c r="G125" s="4" t="str">
        <f t="array" ref="G125">IF($B125="","",XLOOKUP($B125,Sheet2!$I:$I,Sheet2!$C:$C,""))</f>
        <v/>
      </c>
      <c r="H125" s="4" t="s">
        <v>70</v>
      </c>
      <c r="I125" s="4">
        <v>90.0</v>
      </c>
      <c r="J125" s="4">
        <v>660.0</v>
      </c>
      <c r="K125" s="4" t="s">
        <v>165</v>
      </c>
      <c r="L125" s="9"/>
      <c r="M125" s="9"/>
      <c r="N125" s="9"/>
      <c r="O125" s="9"/>
      <c r="P125" s="9"/>
      <c r="Q125" s="9"/>
      <c r="R125" s="9"/>
      <c r="S125" s="9"/>
      <c r="T125" s="9"/>
      <c r="U125" s="9"/>
      <c r="V125" s="9"/>
      <c r="W125" s="9"/>
      <c r="X125" s="9"/>
      <c r="Y125" s="9"/>
      <c r="Z125" s="9"/>
      <c r="AA125" s="9"/>
      <c r="AB125" s="9"/>
      <c r="AC125" s="9"/>
    </row>
    <row r="126" ht="23.25" customHeight="1">
      <c r="A126" s="10">
        <v>124.0</v>
      </c>
      <c r="B126" s="4">
        <v>1394094.0</v>
      </c>
      <c r="C126" s="5">
        <v>46145.291666666664</v>
      </c>
      <c r="D126" s="5">
        <v>46145.458333333336</v>
      </c>
      <c r="E126" s="4" t="str">
        <f t="array" ref="E126">IF(B126="","",XLOOKUP($B126,Sheet2!$I:$I,Sheet2!$T:$T,""))</f>
        <v/>
      </c>
      <c r="F126" s="4" t="str">
        <f t="array" ref="F126">IF($B126="","",XLOOKUP($B126,Sheet2!$I:$I,Sheet2!$E:$E,""))</f>
        <v/>
      </c>
      <c r="G126" s="4" t="str">
        <f t="array" ref="G126">IF($B126="","",XLOOKUP($B126,Sheet2!$I:$I,Sheet2!$C:$C,""))</f>
        <v/>
      </c>
      <c r="H126" s="4" t="s">
        <v>70</v>
      </c>
      <c r="I126" s="4">
        <v>90.0</v>
      </c>
      <c r="J126" s="4">
        <v>313.0</v>
      </c>
      <c r="K126" s="4" t="s">
        <v>166</v>
      </c>
      <c r="L126" s="9"/>
      <c r="M126" s="9"/>
      <c r="N126" s="9"/>
      <c r="O126" s="9"/>
      <c r="P126" s="9"/>
      <c r="Q126" s="9"/>
      <c r="R126" s="9"/>
      <c r="S126" s="9"/>
      <c r="T126" s="9"/>
      <c r="U126" s="9"/>
      <c r="V126" s="9"/>
      <c r="W126" s="9"/>
      <c r="X126" s="9"/>
      <c r="Y126" s="9"/>
      <c r="Z126" s="9"/>
      <c r="AA126" s="9"/>
      <c r="AB126" s="9"/>
      <c r="AC126" s="9"/>
    </row>
    <row r="127" ht="27.0" customHeight="1">
      <c r="A127" s="10">
        <v>125.0</v>
      </c>
      <c r="B127" s="11"/>
      <c r="C127" s="12"/>
      <c r="D127" s="5"/>
      <c r="E127" s="4"/>
      <c r="F127" s="4"/>
      <c r="G127" s="4"/>
      <c r="H127" s="10"/>
      <c r="I127" s="10"/>
      <c r="J127" s="10"/>
      <c r="K127" s="10"/>
      <c r="L127" s="9"/>
      <c r="M127" s="9"/>
      <c r="N127" s="9"/>
      <c r="O127" s="9"/>
      <c r="P127" s="9"/>
      <c r="Q127" s="9"/>
      <c r="R127" s="9"/>
      <c r="S127" s="9"/>
      <c r="T127" s="9"/>
      <c r="U127" s="9"/>
      <c r="V127" s="9"/>
      <c r="W127" s="9"/>
      <c r="X127" s="9"/>
      <c r="Y127" s="9"/>
      <c r="Z127" s="9"/>
      <c r="AA127" s="9"/>
      <c r="AB127" s="9"/>
      <c r="AC127" s="9"/>
    </row>
    <row r="128" ht="27.0" customHeight="1">
      <c r="A128" s="10">
        <v>126.0</v>
      </c>
      <c r="B128" s="10"/>
      <c r="C128" s="5"/>
      <c r="D128" s="5"/>
      <c r="E128" s="4" t="str">
        <f t="array" ref="E128">IF(B128="","",XLOOKUP($B128,Sheet2!$I:$I,Sheet2!$T:$T,""))</f>
        <v/>
      </c>
      <c r="F128" s="4" t="str">
        <f t="array" ref="F128">IF($B128="","",XLOOKUP($B128,Sheet2!$I:$I,Sheet2!$E:$E,""))</f>
        <v/>
      </c>
      <c r="G128" s="4" t="str">
        <f t="array" ref="G128">IF($B128="","",XLOOKUP($B128,Sheet2!$I:$I,Sheet2!$C:$C,""))</f>
        <v/>
      </c>
      <c r="H128" s="10"/>
      <c r="I128" s="10"/>
      <c r="J128" s="10"/>
      <c r="K128" s="10"/>
      <c r="L128" s="9"/>
      <c r="M128" s="9"/>
      <c r="N128" s="9"/>
      <c r="O128" s="9"/>
      <c r="P128" s="9"/>
      <c r="Q128" s="9"/>
      <c r="R128" s="9"/>
      <c r="S128" s="9"/>
      <c r="T128" s="9"/>
      <c r="U128" s="9"/>
      <c r="V128" s="9"/>
      <c r="W128" s="9"/>
      <c r="X128" s="9"/>
      <c r="Y128" s="9"/>
      <c r="Z128" s="9"/>
      <c r="AA128" s="9"/>
      <c r="AB128" s="9"/>
      <c r="AC128" s="9"/>
    </row>
    <row r="129" ht="27.0" customHeight="1">
      <c r="A129" s="13"/>
      <c r="B129" s="13"/>
      <c r="C129" s="13"/>
      <c r="D129" s="13"/>
      <c r="E129" s="4" t="str">
        <f t="array" ref="E129">IF(B129="","",XLOOKUP($B129,Sheet2!$I:$I,Sheet2!$T:$T,""))</f>
        <v/>
      </c>
      <c r="F129" s="4" t="str">
        <f t="array" ref="F129">IF($B129="","",XLOOKUP($B129,Sheet2!$I:$I,Sheet2!$E:$E,""))</f>
        <v/>
      </c>
      <c r="G129" s="4" t="str">
        <f t="array" ref="G129">IF($B129="","",XLOOKUP($B129,Sheet2!$I:$I,Sheet2!$C:$C,""))</f>
        <v/>
      </c>
      <c r="H129" s="13"/>
      <c r="I129" s="13"/>
      <c r="J129" s="13"/>
      <c r="K129" s="13"/>
      <c r="L129" s="9"/>
      <c r="M129" s="9"/>
      <c r="N129" s="9"/>
      <c r="O129" s="9"/>
      <c r="P129" s="9"/>
      <c r="Q129" s="9"/>
      <c r="R129" s="9"/>
      <c r="S129" s="9"/>
      <c r="T129" s="9"/>
      <c r="U129" s="9"/>
      <c r="V129" s="9"/>
      <c r="W129" s="9"/>
      <c r="X129" s="9"/>
      <c r="Y129" s="9"/>
      <c r="Z129" s="9"/>
      <c r="AA129" s="9"/>
      <c r="AB129" s="9"/>
      <c r="AC129" s="9"/>
    </row>
    <row r="130" ht="27.0" customHeight="1">
      <c r="A130" s="13"/>
      <c r="B130" s="13"/>
      <c r="C130" s="13"/>
      <c r="D130" s="13"/>
      <c r="E130" s="4" t="str">
        <f t="array" ref="E130">IF(B130="","",XLOOKUP($B130,Sheet2!$I:$I,Sheet2!$T:$T,""))</f>
        <v/>
      </c>
      <c r="F130" s="4" t="str">
        <f t="array" ref="F130">IF($B130="","",XLOOKUP($B130,Sheet2!$I:$I,Sheet2!$E:$E,""))</f>
        <v/>
      </c>
      <c r="G130" s="4" t="str">
        <f t="array" ref="G130">IF($B130="","",XLOOKUP($B130,Sheet2!$I:$I,Sheet2!$C:$C,""))</f>
        <v/>
      </c>
      <c r="H130" s="13"/>
      <c r="I130" s="13"/>
      <c r="J130" s="13"/>
      <c r="K130" s="13"/>
      <c r="L130" s="9"/>
      <c r="M130" s="9"/>
      <c r="N130" s="9"/>
      <c r="O130" s="9"/>
      <c r="P130" s="9"/>
      <c r="Q130" s="9"/>
      <c r="R130" s="9"/>
      <c r="S130" s="9"/>
      <c r="T130" s="9"/>
      <c r="U130" s="9"/>
      <c r="V130" s="9"/>
      <c r="W130" s="9"/>
      <c r="X130" s="9"/>
      <c r="Y130" s="9"/>
      <c r="Z130" s="9"/>
      <c r="AA130" s="9"/>
      <c r="AB130" s="9"/>
      <c r="AC130" s="9"/>
    </row>
    <row r="131" ht="27.0" customHeight="1">
      <c r="A131" s="14"/>
      <c r="B131" s="15"/>
      <c r="C131" s="14"/>
      <c r="D131" s="14"/>
      <c r="E131" s="4" t="str">
        <f t="array" ref="E131">IF(B131="","",XLOOKUP($B131,Sheet2!$I:$I,Sheet2!$T:$T,""))</f>
        <v/>
      </c>
      <c r="F131" s="4" t="str">
        <f t="array" ref="F131">IF($B131="","",XLOOKUP($B131,Sheet2!$I:$I,Sheet2!$E:$E,""))</f>
        <v/>
      </c>
      <c r="G131" s="4" t="str">
        <f t="array" ref="G131">IF($B131="","",XLOOKUP($B131,Sheet2!$I:$I,Sheet2!$C:$C,""))</f>
        <v/>
      </c>
      <c r="H131" s="14"/>
      <c r="I131" s="15"/>
      <c r="J131" s="15"/>
      <c r="K131" s="15"/>
    </row>
    <row r="132" ht="27.0" customHeight="1">
      <c r="A132" s="14"/>
      <c r="B132" s="15"/>
      <c r="C132" s="14"/>
      <c r="D132" s="14"/>
      <c r="E132" s="4" t="str">
        <f t="array" ref="E132">IF(B132="","",XLOOKUP($B132,Sheet2!$I:$I,Sheet2!$T:$T,""))</f>
        <v/>
      </c>
      <c r="F132" s="4" t="str">
        <f t="array" ref="F132">IF($B132="","",XLOOKUP($B132,Sheet2!$I:$I,Sheet2!$E:$E,""))</f>
        <v/>
      </c>
      <c r="G132" s="4" t="str">
        <f t="array" ref="G132">IF($B132="","",XLOOKUP($B132,Sheet2!$I:$I,Sheet2!$C:$C,""))</f>
        <v/>
      </c>
      <c r="H132" s="14"/>
      <c r="I132" s="15"/>
      <c r="J132" s="15"/>
      <c r="K132" s="15"/>
    </row>
    <row r="133" ht="27.0" customHeight="1">
      <c r="A133" s="14"/>
      <c r="B133" s="15"/>
      <c r="C133" s="14"/>
      <c r="D133" s="14"/>
      <c r="E133" s="4" t="str">
        <f t="array" ref="E133">IF(B133="","",XLOOKUP($B133,Sheet2!$I:$I,Sheet2!$T:$T,""))</f>
        <v/>
      </c>
      <c r="F133" s="4" t="str">
        <f t="array" ref="F133">IF($B133="","",XLOOKUP($B133,Sheet2!$I:$I,Sheet2!$E:$E,""))</f>
        <v/>
      </c>
      <c r="G133" s="4" t="str">
        <f t="array" ref="G133">IF($B133="","",XLOOKUP($B133,Sheet2!$I:$I,Sheet2!$C:$C,""))</f>
        <v/>
      </c>
      <c r="H133" s="14"/>
      <c r="I133" s="15"/>
      <c r="J133" s="15"/>
      <c r="K133" s="15"/>
    </row>
    <row r="134" ht="27.0" customHeight="1">
      <c r="A134" s="14"/>
      <c r="B134" s="15"/>
      <c r="C134" s="14"/>
      <c r="D134" s="14"/>
      <c r="E134" s="4" t="str">
        <f t="array" ref="E134">IF(B134="","",XLOOKUP($B134,Sheet2!$I:$I,Sheet2!$T:$T,""))</f>
        <v/>
      </c>
      <c r="F134" s="4" t="str">
        <f t="array" ref="F134">IF($B134="","",XLOOKUP($B134,Sheet2!$I:$I,Sheet2!$E:$E,""))</f>
        <v/>
      </c>
      <c r="G134" s="4" t="str">
        <f t="array" ref="G134">IF($B134="","",XLOOKUP($B134,Sheet2!$I:$I,Sheet2!$C:$C,""))</f>
        <v/>
      </c>
      <c r="H134" s="14"/>
      <c r="I134" s="15"/>
      <c r="J134" s="15"/>
      <c r="K134" s="15"/>
    </row>
    <row r="135" ht="27.0" customHeight="1">
      <c r="A135" s="14"/>
      <c r="B135" s="15"/>
      <c r="C135" s="14"/>
      <c r="D135" s="14"/>
      <c r="E135" s="4" t="str">
        <f t="array" ref="E135">IF(B135="","",XLOOKUP($B135,Sheet2!$I:$I,Sheet2!$T:$T,""))</f>
        <v/>
      </c>
      <c r="F135" s="4" t="str">
        <f t="array" ref="F135">IF($B135="","",XLOOKUP($B135,Sheet2!$I:$I,Sheet2!$E:$E,""))</f>
        <v/>
      </c>
      <c r="G135" s="4" t="str">
        <f t="array" ref="G135">IF($B135="","",XLOOKUP($B135,Sheet2!$I:$I,Sheet2!$C:$C,""))</f>
        <v/>
      </c>
      <c r="H135" s="14"/>
      <c r="I135" s="15"/>
      <c r="J135" s="15"/>
      <c r="K135" s="15"/>
    </row>
    <row r="136" ht="27.0" customHeight="1">
      <c r="A136" s="14"/>
      <c r="B136" s="15"/>
      <c r="C136" s="14"/>
      <c r="D136" s="14"/>
      <c r="E136" s="4" t="str">
        <f t="array" ref="E136">IF(B136="","",XLOOKUP($B136,Sheet2!$I:$I,Sheet2!$T:$T,""))</f>
        <v/>
      </c>
      <c r="F136" s="4" t="str">
        <f t="array" ref="F136">IF($B136="","",XLOOKUP($B136,Sheet2!$I:$I,Sheet2!$E:$E,""))</f>
        <v/>
      </c>
      <c r="G136" s="4" t="str">
        <f t="array" ref="G136">IF($B136="","",XLOOKUP($B136,Sheet2!$I:$I,Sheet2!$C:$C,""))</f>
        <v/>
      </c>
      <c r="H136" s="14"/>
      <c r="I136" s="15"/>
      <c r="J136" s="15"/>
      <c r="K136" s="15"/>
    </row>
    <row r="137" ht="27.0" customHeight="1">
      <c r="A137" s="14"/>
      <c r="B137" s="15"/>
      <c r="C137" s="14"/>
      <c r="D137" s="14"/>
      <c r="E137" s="4" t="str">
        <f t="array" ref="E137">IF(B137="","",XLOOKUP($B137,Sheet2!$I:$I,Sheet2!$T:$T,""))</f>
        <v/>
      </c>
      <c r="F137" s="4" t="str">
        <f t="array" ref="F137">IF($B137="","",XLOOKUP($B137,Sheet2!$I:$I,Sheet2!$E:$E,""))</f>
        <v/>
      </c>
      <c r="G137" s="4" t="str">
        <f t="array" ref="G137">IF($B137="","",XLOOKUP($B137,Sheet2!$I:$I,Sheet2!$C:$C,""))</f>
        <v/>
      </c>
      <c r="H137" s="14"/>
      <c r="I137" s="15"/>
      <c r="J137" s="15"/>
      <c r="K137" s="15"/>
    </row>
    <row r="138" ht="27.0" customHeight="1">
      <c r="A138" s="14"/>
      <c r="B138" s="15"/>
      <c r="C138" s="14"/>
      <c r="D138" s="14"/>
      <c r="E138" s="4" t="str">
        <f t="array" ref="E138">IF(B138="","",XLOOKUP($B138,Sheet2!$I:$I,Sheet2!$T:$T,""))</f>
        <v/>
      </c>
      <c r="F138" s="4" t="str">
        <f t="array" ref="F138">IF($B138="","",XLOOKUP($B138,Sheet2!$I:$I,Sheet2!$E:$E,""))</f>
        <v/>
      </c>
      <c r="G138" s="4" t="str">
        <f t="array" ref="G138">IF($B138="","",XLOOKUP($B138,Sheet2!$I:$I,Sheet2!$C:$C,""))</f>
        <v/>
      </c>
      <c r="H138" s="14"/>
      <c r="I138" s="15"/>
      <c r="J138" s="15"/>
      <c r="K138" s="15"/>
    </row>
    <row r="139" ht="27.0" customHeight="1">
      <c r="A139" s="14"/>
      <c r="B139" s="15"/>
      <c r="C139" s="14"/>
      <c r="D139" s="14"/>
      <c r="E139" s="4" t="str">
        <f t="array" ref="E139">IF(B139="","",XLOOKUP($B139,Sheet2!$I:$I,Sheet2!$T:$T,""))</f>
        <v/>
      </c>
      <c r="F139" s="4" t="str">
        <f t="array" ref="F139">IF($B139="","",XLOOKUP($B139,Sheet2!$I:$I,Sheet2!$E:$E,""))</f>
        <v/>
      </c>
      <c r="G139" s="4" t="str">
        <f t="array" ref="G139">IF($B139="","",XLOOKUP($B139,Sheet2!$I:$I,Sheet2!$C:$C,""))</f>
        <v/>
      </c>
      <c r="H139" s="14"/>
      <c r="I139" s="15"/>
      <c r="J139" s="15"/>
      <c r="K139" s="15"/>
    </row>
    <row r="140" ht="27.0" customHeight="1">
      <c r="A140" s="14"/>
      <c r="B140" s="15"/>
      <c r="C140" s="14"/>
      <c r="D140" s="14"/>
      <c r="E140" s="4" t="str">
        <f t="array" ref="E140">IF(B140="","",XLOOKUP($B140,Sheet2!$I:$I,Sheet2!$T:$T,""))</f>
        <v/>
      </c>
      <c r="F140" s="4" t="str">
        <f t="array" ref="F140">IF($B140="","",XLOOKUP($B140,Sheet2!$I:$I,Sheet2!$E:$E,""))</f>
        <v/>
      </c>
      <c r="G140" s="4" t="str">
        <f t="array" ref="G140">IF($B140="","",XLOOKUP($B140,Sheet2!$I:$I,Sheet2!$C:$C,""))</f>
        <v/>
      </c>
      <c r="H140" s="14"/>
      <c r="I140" s="15"/>
      <c r="J140" s="15"/>
      <c r="K140" s="15"/>
    </row>
    <row r="141" ht="15.75" customHeight="1">
      <c r="B141" s="8"/>
      <c r="I141" s="8"/>
      <c r="J141" s="8"/>
      <c r="K141" s="8"/>
    </row>
    <row r="142" ht="15.75" customHeight="1">
      <c r="B142" s="8"/>
      <c r="I142" s="8"/>
      <c r="J142" s="8"/>
      <c r="K142" s="8"/>
    </row>
    <row r="143" ht="15.75" customHeight="1">
      <c r="B143" s="8"/>
      <c r="I143" s="8"/>
      <c r="J143" s="8"/>
      <c r="K143" s="8"/>
    </row>
    <row r="144" ht="15.75" customHeight="1">
      <c r="B144" s="8"/>
      <c r="I144" s="8"/>
      <c r="J144" s="8"/>
      <c r="K144" s="8"/>
    </row>
    <row r="145" ht="15.75" customHeight="1">
      <c r="B145" s="8"/>
      <c r="I145" s="8"/>
      <c r="J145" s="8"/>
      <c r="K145" s="8"/>
    </row>
    <row r="146" ht="15.75" customHeight="1">
      <c r="B146" s="8"/>
      <c r="I146" s="8"/>
      <c r="J146" s="8"/>
      <c r="K146" s="8"/>
    </row>
    <row r="147" ht="15.75" customHeight="1">
      <c r="B147" s="8"/>
      <c r="I147" s="8"/>
      <c r="J147" s="8"/>
      <c r="K147" s="8"/>
    </row>
    <row r="148" ht="15.75" customHeight="1">
      <c r="B148" s="8"/>
      <c r="I148" s="8"/>
      <c r="J148" s="8"/>
      <c r="K148" s="8"/>
    </row>
    <row r="149" ht="15.75" customHeight="1">
      <c r="B149" s="8"/>
      <c r="I149" s="8"/>
      <c r="J149" s="8"/>
      <c r="K149" s="8"/>
    </row>
    <row r="150" ht="15.75" customHeight="1">
      <c r="B150" s="8"/>
      <c r="I150" s="8"/>
      <c r="J150" s="8"/>
      <c r="K150" s="8"/>
    </row>
    <row r="151" ht="15.75" customHeight="1">
      <c r="B151" s="8"/>
      <c r="I151" s="8"/>
      <c r="J151" s="8"/>
      <c r="K151" s="8"/>
    </row>
    <row r="152" ht="15.75" customHeight="1">
      <c r="B152" s="8"/>
      <c r="I152" s="8"/>
      <c r="J152" s="8"/>
      <c r="K152" s="8"/>
    </row>
    <row r="153" ht="15.75" customHeight="1">
      <c r="B153" s="8"/>
      <c r="I153" s="8"/>
      <c r="J153" s="8"/>
      <c r="K153" s="8"/>
    </row>
    <row r="154" ht="15.75" customHeight="1">
      <c r="B154" s="8"/>
      <c r="I154" s="8"/>
      <c r="J154" s="8"/>
      <c r="K154" s="8"/>
    </row>
    <row r="155" ht="15.75" customHeight="1">
      <c r="B155" s="8"/>
      <c r="I155" s="8"/>
      <c r="J155" s="8"/>
      <c r="K155" s="8"/>
    </row>
    <row r="156" ht="15.75" customHeight="1">
      <c r="B156" s="8"/>
      <c r="I156" s="8"/>
      <c r="J156" s="8"/>
      <c r="K156" s="8"/>
    </row>
    <row r="157" ht="15.75" customHeight="1">
      <c r="B157" s="8"/>
      <c r="I157" s="8"/>
      <c r="J157" s="8"/>
      <c r="K157" s="8"/>
    </row>
    <row r="158" ht="15.75" customHeight="1">
      <c r="B158" s="8"/>
      <c r="I158" s="8"/>
      <c r="J158" s="8"/>
      <c r="K158" s="8"/>
    </row>
    <row r="159" ht="15.75" customHeight="1">
      <c r="B159" s="8"/>
      <c r="I159" s="8"/>
      <c r="J159" s="8"/>
      <c r="K159" s="8"/>
    </row>
    <row r="160" ht="15.75" customHeight="1">
      <c r="B160" s="8"/>
      <c r="I160" s="8"/>
      <c r="J160" s="8"/>
      <c r="K160" s="8"/>
    </row>
    <row r="161" ht="15.75" customHeight="1">
      <c r="B161" s="8"/>
      <c r="I161" s="8"/>
      <c r="J161" s="8"/>
      <c r="K161" s="8"/>
    </row>
    <row r="162" ht="15.75" customHeight="1">
      <c r="B162" s="8"/>
      <c r="I162" s="8"/>
      <c r="J162" s="8"/>
      <c r="K162" s="8"/>
    </row>
    <row r="163" ht="15.75" customHeight="1">
      <c r="B163" s="8"/>
      <c r="I163" s="8"/>
      <c r="J163" s="8"/>
      <c r="K163" s="8"/>
    </row>
    <row r="164" ht="15.75" customHeight="1">
      <c r="B164" s="8"/>
      <c r="I164" s="8"/>
      <c r="J164" s="8"/>
      <c r="K164" s="8"/>
    </row>
    <row r="165" ht="15.75" customHeight="1">
      <c r="B165" s="8"/>
      <c r="I165" s="8"/>
      <c r="J165" s="8"/>
      <c r="K165" s="8"/>
    </row>
    <row r="166" ht="15.75" customHeight="1">
      <c r="B166" s="8"/>
      <c r="I166" s="8"/>
      <c r="J166" s="8"/>
      <c r="K166" s="8"/>
    </row>
    <row r="167" ht="15.75" customHeight="1">
      <c r="B167" s="8"/>
      <c r="I167" s="8"/>
      <c r="J167" s="8"/>
      <c r="K167" s="8"/>
    </row>
    <row r="168" ht="15.75" customHeight="1">
      <c r="B168" s="8"/>
      <c r="I168" s="8"/>
      <c r="J168" s="8"/>
      <c r="K168" s="8"/>
    </row>
    <row r="169" ht="15.75" customHeight="1">
      <c r="B169" s="8"/>
      <c r="I169" s="8"/>
      <c r="J169" s="8"/>
      <c r="K169" s="8"/>
    </row>
    <row r="170" ht="15.75" customHeight="1">
      <c r="B170" s="8"/>
      <c r="I170" s="8"/>
      <c r="J170" s="8"/>
      <c r="K170" s="8"/>
    </row>
    <row r="171" ht="15.75" customHeight="1">
      <c r="B171" s="8"/>
      <c r="I171" s="8"/>
      <c r="J171" s="8"/>
      <c r="K171" s="8"/>
    </row>
    <row r="172" ht="15.75" customHeight="1">
      <c r="B172" s="8"/>
      <c r="I172" s="8"/>
      <c r="J172" s="8"/>
      <c r="K172" s="8"/>
    </row>
    <row r="173" ht="15.75" customHeight="1">
      <c r="B173" s="8"/>
      <c r="I173" s="8"/>
      <c r="J173" s="8"/>
      <c r="K173" s="8"/>
    </row>
    <row r="174" ht="15.75" customHeight="1">
      <c r="B174" s="8"/>
      <c r="I174" s="8"/>
      <c r="J174" s="8"/>
      <c r="K174" s="8"/>
    </row>
    <row r="175" ht="15.75" customHeight="1">
      <c r="B175" s="8"/>
      <c r="I175" s="8"/>
      <c r="J175" s="8"/>
      <c r="K175" s="8"/>
    </row>
    <row r="176" ht="15.75" customHeight="1">
      <c r="B176" s="8"/>
      <c r="I176" s="8"/>
      <c r="J176" s="8"/>
      <c r="K176" s="8"/>
    </row>
    <row r="177" ht="15.75" customHeight="1">
      <c r="B177" s="8"/>
      <c r="I177" s="8"/>
      <c r="J177" s="8"/>
      <c r="K177" s="8"/>
    </row>
    <row r="178" ht="15.75" customHeight="1">
      <c r="B178" s="8"/>
      <c r="I178" s="8"/>
      <c r="J178" s="8"/>
      <c r="K178" s="8"/>
    </row>
    <row r="179" ht="15.75" customHeight="1">
      <c r="B179" s="8"/>
      <c r="I179" s="8"/>
      <c r="J179" s="8"/>
      <c r="K179" s="8"/>
    </row>
    <row r="180" ht="15.75" customHeight="1">
      <c r="B180" s="8"/>
      <c r="I180" s="8"/>
      <c r="J180" s="8"/>
      <c r="K180" s="8"/>
    </row>
    <row r="181" ht="15.75" customHeight="1">
      <c r="B181" s="8"/>
      <c r="I181" s="8"/>
      <c r="J181" s="8"/>
      <c r="K181" s="8"/>
    </row>
    <row r="182" ht="15.75" customHeight="1">
      <c r="B182" s="8"/>
      <c r="I182" s="8"/>
      <c r="J182" s="8"/>
      <c r="K182" s="8"/>
    </row>
    <row r="183" ht="15.75" customHeight="1">
      <c r="B183" s="8"/>
      <c r="I183" s="8"/>
      <c r="J183" s="8"/>
      <c r="K183" s="8"/>
    </row>
    <row r="184" ht="15.75" customHeight="1">
      <c r="B184" s="8"/>
      <c r="I184" s="8"/>
      <c r="J184" s="8"/>
      <c r="K184" s="8"/>
    </row>
    <row r="185" ht="15.75" customHeight="1">
      <c r="B185" s="8"/>
      <c r="I185" s="8"/>
      <c r="J185" s="8"/>
      <c r="K185" s="8"/>
    </row>
    <row r="186" ht="15.75" customHeight="1">
      <c r="B186" s="8"/>
      <c r="I186" s="8"/>
      <c r="J186" s="8"/>
      <c r="K186" s="8"/>
    </row>
    <row r="187" ht="15.75" customHeight="1">
      <c r="B187" s="8"/>
      <c r="I187" s="8"/>
      <c r="J187" s="8"/>
      <c r="K187" s="8"/>
    </row>
    <row r="188" ht="15.75" customHeight="1">
      <c r="B188" s="8"/>
      <c r="I188" s="8"/>
      <c r="J188" s="8"/>
      <c r="K188" s="8"/>
    </row>
    <row r="189" ht="15.75" customHeight="1">
      <c r="B189" s="8"/>
      <c r="I189" s="8"/>
      <c r="J189" s="8"/>
      <c r="K189" s="8"/>
    </row>
    <row r="190" ht="15.75" customHeight="1">
      <c r="B190" s="8"/>
      <c r="I190" s="8"/>
      <c r="J190" s="8"/>
      <c r="K190" s="8"/>
    </row>
    <row r="191" ht="15.75" customHeight="1">
      <c r="B191" s="8"/>
      <c r="I191" s="8"/>
      <c r="J191" s="8"/>
      <c r="K191" s="8"/>
    </row>
    <row r="192" ht="15.75" customHeight="1">
      <c r="B192" s="8"/>
      <c r="I192" s="8"/>
      <c r="J192" s="8"/>
      <c r="K192" s="8"/>
    </row>
    <row r="193" ht="15.75" customHeight="1">
      <c r="B193" s="8"/>
      <c r="I193" s="8"/>
      <c r="J193" s="8"/>
      <c r="K193" s="8"/>
    </row>
    <row r="194" ht="15.75" customHeight="1">
      <c r="B194" s="8"/>
      <c r="I194" s="8"/>
      <c r="J194" s="8"/>
      <c r="K194" s="8"/>
    </row>
    <row r="195" ht="15.75" customHeight="1">
      <c r="B195" s="8"/>
      <c r="I195" s="8"/>
      <c r="J195" s="8"/>
      <c r="K195" s="8"/>
    </row>
    <row r="196" ht="15.75" customHeight="1">
      <c r="B196" s="8"/>
      <c r="I196" s="8"/>
      <c r="J196" s="8"/>
      <c r="K196" s="8"/>
    </row>
    <row r="197" ht="15.75" customHeight="1">
      <c r="B197" s="8"/>
      <c r="I197" s="8"/>
      <c r="J197" s="8"/>
      <c r="K197" s="8"/>
    </row>
    <row r="198" ht="15.75" customHeight="1">
      <c r="B198" s="8"/>
      <c r="I198" s="8"/>
      <c r="J198" s="8"/>
      <c r="K198" s="8"/>
    </row>
    <row r="199" ht="15.75" customHeight="1">
      <c r="B199" s="8"/>
      <c r="I199" s="8"/>
      <c r="J199" s="8"/>
      <c r="K199" s="8"/>
    </row>
    <row r="200" ht="15.75" customHeight="1">
      <c r="B200" s="8"/>
      <c r="I200" s="8"/>
      <c r="J200" s="8"/>
      <c r="K200" s="8"/>
    </row>
    <row r="201" ht="15.75" customHeight="1">
      <c r="B201" s="8"/>
      <c r="I201" s="8"/>
      <c r="J201" s="8"/>
      <c r="K201" s="8"/>
    </row>
    <row r="202" ht="15.75" customHeight="1">
      <c r="B202" s="8"/>
      <c r="I202" s="8"/>
      <c r="J202" s="8"/>
      <c r="K202" s="8"/>
    </row>
    <row r="203" ht="15.75" customHeight="1">
      <c r="B203" s="8"/>
      <c r="I203" s="8"/>
      <c r="J203" s="8"/>
      <c r="K203" s="8"/>
    </row>
    <row r="204" ht="15.75" customHeight="1">
      <c r="B204" s="8"/>
      <c r="I204" s="8"/>
      <c r="J204" s="8"/>
      <c r="K204" s="8"/>
    </row>
    <row r="205" ht="15.75" customHeight="1">
      <c r="B205" s="8"/>
      <c r="I205" s="8"/>
      <c r="J205" s="8"/>
      <c r="K205" s="8"/>
    </row>
    <row r="206" ht="15.75" customHeight="1">
      <c r="B206" s="8"/>
      <c r="I206" s="8"/>
      <c r="J206" s="8"/>
      <c r="K206" s="8"/>
    </row>
    <row r="207" ht="15.75" customHeight="1">
      <c r="B207" s="8"/>
      <c r="I207" s="8"/>
      <c r="J207" s="8"/>
      <c r="K207" s="8"/>
    </row>
    <row r="208" ht="15.75" customHeight="1">
      <c r="B208" s="8"/>
      <c r="I208" s="8"/>
      <c r="J208" s="8"/>
      <c r="K208" s="8"/>
    </row>
    <row r="209" ht="15.75" customHeight="1">
      <c r="B209" s="8"/>
      <c r="I209" s="8"/>
      <c r="J209" s="8"/>
      <c r="K209" s="8"/>
    </row>
    <row r="210" ht="15.75" customHeight="1">
      <c r="B210" s="8"/>
      <c r="I210" s="8"/>
      <c r="J210" s="8"/>
      <c r="K210" s="8"/>
    </row>
    <row r="211" ht="15.75" customHeight="1">
      <c r="B211" s="8"/>
      <c r="I211" s="8"/>
      <c r="J211" s="8"/>
      <c r="K211" s="8"/>
    </row>
    <row r="212" ht="15.75" customHeight="1">
      <c r="B212" s="8"/>
      <c r="I212" s="8"/>
      <c r="J212" s="8"/>
      <c r="K212" s="8"/>
    </row>
    <row r="213" ht="15.75" customHeight="1">
      <c r="B213" s="8"/>
      <c r="I213" s="8"/>
      <c r="J213" s="8"/>
      <c r="K213" s="8"/>
    </row>
    <row r="214" ht="15.75" customHeight="1">
      <c r="B214" s="8"/>
      <c r="I214" s="8"/>
      <c r="J214" s="8"/>
      <c r="K214" s="8"/>
    </row>
    <row r="215" ht="15.75" customHeight="1">
      <c r="B215" s="8"/>
      <c r="I215" s="8"/>
      <c r="J215" s="8"/>
      <c r="K215" s="8"/>
    </row>
    <row r="216" ht="15.75" customHeight="1">
      <c r="B216" s="8"/>
      <c r="I216" s="8"/>
      <c r="J216" s="8"/>
      <c r="K216" s="8"/>
    </row>
    <row r="217" ht="15.75" customHeight="1">
      <c r="B217" s="8"/>
      <c r="I217" s="8"/>
      <c r="J217" s="8"/>
      <c r="K217" s="8"/>
    </row>
    <row r="218" ht="15.75" customHeight="1">
      <c r="B218" s="8"/>
      <c r="I218" s="8"/>
      <c r="J218" s="8"/>
      <c r="K218" s="8"/>
    </row>
    <row r="219" ht="15.75" customHeight="1">
      <c r="B219" s="8"/>
      <c r="I219" s="8"/>
      <c r="J219" s="8"/>
      <c r="K219" s="8"/>
    </row>
    <row r="220" ht="15.75" customHeight="1">
      <c r="B220" s="8"/>
      <c r="I220" s="8"/>
      <c r="J220" s="8"/>
      <c r="K220" s="8"/>
    </row>
    <row r="221" ht="15.75" customHeight="1">
      <c r="B221" s="8"/>
      <c r="I221" s="8"/>
      <c r="J221" s="8"/>
      <c r="K221" s="8"/>
    </row>
    <row r="222" ht="15.75" customHeight="1">
      <c r="B222" s="8"/>
      <c r="I222" s="8"/>
      <c r="J222" s="8"/>
      <c r="K222" s="8"/>
    </row>
    <row r="223" ht="15.75" customHeight="1">
      <c r="B223" s="8"/>
      <c r="I223" s="8"/>
      <c r="J223" s="8"/>
      <c r="K223" s="8"/>
    </row>
    <row r="224" ht="15.75" customHeight="1">
      <c r="B224" s="8"/>
      <c r="I224" s="8"/>
      <c r="J224" s="8"/>
      <c r="K224" s="8"/>
    </row>
    <row r="225" ht="15.75" customHeight="1">
      <c r="B225" s="8"/>
      <c r="I225" s="8"/>
      <c r="J225" s="8"/>
      <c r="K225" s="8"/>
    </row>
    <row r="226" ht="15.75" customHeight="1">
      <c r="B226" s="8"/>
      <c r="I226" s="8"/>
      <c r="J226" s="8"/>
      <c r="K226" s="8"/>
    </row>
    <row r="227" ht="15.75" customHeight="1">
      <c r="B227" s="8"/>
      <c r="I227" s="8"/>
      <c r="J227" s="8"/>
      <c r="K227" s="8"/>
    </row>
    <row r="228" ht="15.75" customHeight="1">
      <c r="B228" s="8"/>
      <c r="I228" s="8"/>
      <c r="J228" s="8"/>
      <c r="K228" s="8"/>
    </row>
    <row r="229" ht="15.75" customHeight="1">
      <c r="B229" s="8"/>
      <c r="I229" s="8"/>
      <c r="J229" s="8"/>
      <c r="K229" s="8"/>
    </row>
    <row r="230" ht="15.75" customHeight="1">
      <c r="B230" s="8"/>
      <c r="I230" s="8"/>
      <c r="J230" s="8"/>
      <c r="K230" s="8"/>
    </row>
    <row r="231" ht="15.75" customHeight="1">
      <c r="B231" s="8"/>
      <c r="I231" s="8"/>
      <c r="J231" s="8"/>
      <c r="K231" s="8"/>
    </row>
    <row r="232" ht="15.75" customHeight="1">
      <c r="B232" s="8"/>
      <c r="I232" s="8"/>
      <c r="J232" s="8"/>
      <c r="K232" s="8"/>
    </row>
    <row r="233" ht="15.75" customHeight="1">
      <c r="B233" s="8"/>
      <c r="I233" s="8"/>
      <c r="J233" s="8"/>
      <c r="K233" s="8"/>
    </row>
    <row r="234" ht="15.75" customHeight="1">
      <c r="B234" s="8"/>
      <c r="I234" s="8"/>
      <c r="J234" s="8"/>
      <c r="K234" s="8"/>
    </row>
    <row r="235" ht="15.75" customHeight="1">
      <c r="B235" s="8"/>
      <c r="I235" s="8"/>
      <c r="J235" s="8"/>
      <c r="K235" s="8"/>
    </row>
    <row r="236" ht="15.75" customHeight="1">
      <c r="B236" s="8"/>
      <c r="I236" s="8"/>
      <c r="J236" s="8"/>
      <c r="K236" s="8"/>
    </row>
    <row r="237" ht="15.75" customHeight="1">
      <c r="B237" s="8"/>
      <c r="I237" s="8"/>
      <c r="J237" s="8"/>
      <c r="K237" s="8"/>
    </row>
    <row r="238" ht="15.75" customHeight="1">
      <c r="B238" s="8"/>
      <c r="I238" s="8"/>
      <c r="J238" s="8"/>
      <c r="K238" s="8"/>
    </row>
    <row r="239" ht="15.75" customHeight="1">
      <c r="B239" s="8"/>
      <c r="I239" s="8"/>
      <c r="J239" s="8"/>
      <c r="K239" s="8"/>
    </row>
    <row r="240" ht="15.75" customHeight="1">
      <c r="B240" s="8"/>
      <c r="I240" s="8"/>
      <c r="J240" s="8"/>
      <c r="K240" s="8"/>
    </row>
    <row r="241" ht="15.75" customHeight="1">
      <c r="B241" s="8"/>
      <c r="I241" s="8"/>
      <c r="J241" s="8"/>
      <c r="K241" s="8"/>
    </row>
    <row r="242" ht="15.75" customHeight="1">
      <c r="B242" s="8"/>
      <c r="I242" s="8"/>
      <c r="J242" s="8"/>
      <c r="K242" s="8"/>
    </row>
    <row r="243" ht="15.75" customHeight="1">
      <c r="B243" s="8"/>
      <c r="I243" s="8"/>
      <c r="J243" s="8"/>
      <c r="K243" s="8"/>
    </row>
    <row r="244" ht="15.75" customHeight="1">
      <c r="B244" s="8"/>
      <c r="I244" s="8"/>
      <c r="J244" s="8"/>
      <c r="K244" s="8"/>
    </row>
    <row r="245" ht="15.75" customHeight="1">
      <c r="B245" s="8"/>
      <c r="I245" s="8"/>
      <c r="J245" s="8"/>
      <c r="K245" s="8"/>
    </row>
    <row r="246" ht="15.75" customHeight="1">
      <c r="B246" s="8"/>
      <c r="I246" s="8"/>
      <c r="J246" s="8"/>
      <c r="K246" s="8"/>
    </row>
    <row r="247" ht="15.75" customHeight="1">
      <c r="B247" s="8"/>
      <c r="I247" s="8"/>
      <c r="J247" s="8"/>
      <c r="K247" s="8"/>
    </row>
    <row r="248" ht="15.75" customHeight="1">
      <c r="B248" s="8"/>
      <c r="I248" s="8"/>
      <c r="J248" s="8"/>
      <c r="K248" s="8"/>
    </row>
    <row r="249" ht="15.75" customHeight="1">
      <c r="B249" s="8"/>
      <c r="I249" s="8"/>
      <c r="J249" s="8"/>
      <c r="K249" s="8"/>
    </row>
    <row r="250" ht="15.75" customHeight="1">
      <c r="B250" s="8"/>
      <c r="I250" s="8"/>
      <c r="J250" s="8"/>
      <c r="K250" s="8"/>
    </row>
    <row r="251" ht="15.75" customHeight="1">
      <c r="B251" s="8"/>
      <c r="I251" s="8"/>
      <c r="J251" s="8"/>
      <c r="K251" s="8"/>
    </row>
    <row r="252" ht="15.75" customHeight="1">
      <c r="B252" s="8"/>
      <c r="I252" s="8"/>
      <c r="J252" s="8"/>
      <c r="K252" s="8"/>
    </row>
    <row r="253" ht="15.75" customHeight="1">
      <c r="B253" s="8"/>
      <c r="I253" s="8"/>
      <c r="J253" s="8"/>
      <c r="K253" s="8"/>
    </row>
    <row r="254" ht="15.75" customHeight="1">
      <c r="B254" s="8"/>
      <c r="I254" s="8"/>
      <c r="J254" s="8"/>
      <c r="K254" s="8"/>
    </row>
    <row r="255" ht="15.75" customHeight="1">
      <c r="B255" s="8"/>
      <c r="I255" s="8"/>
      <c r="J255" s="8"/>
      <c r="K255" s="8"/>
    </row>
    <row r="256" ht="15.75" customHeight="1">
      <c r="B256" s="8"/>
      <c r="I256" s="8"/>
      <c r="J256" s="8"/>
      <c r="K256" s="8"/>
    </row>
    <row r="257" ht="15.75" customHeight="1">
      <c r="B257" s="8"/>
      <c r="I257" s="8"/>
      <c r="J257" s="8"/>
      <c r="K257" s="8"/>
    </row>
    <row r="258" ht="15.75" customHeight="1">
      <c r="B258" s="8"/>
      <c r="I258" s="8"/>
      <c r="J258" s="8"/>
      <c r="K258" s="8"/>
    </row>
    <row r="259" ht="15.75" customHeight="1">
      <c r="B259" s="8"/>
      <c r="I259" s="8"/>
      <c r="J259" s="8"/>
      <c r="K259" s="8"/>
    </row>
    <row r="260" ht="15.75" customHeight="1">
      <c r="B260" s="8"/>
      <c r="I260" s="8"/>
      <c r="J260" s="8"/>
      <c r="K260" s="8"/>
    </row>
    <row r="261" ht="15.75" customHeight="1">
      <c r="B261" s="8"/>
      <c r="I261" s="8"/>
      <c r="J261" s="8"/>
      <c r="K261" s="8"/>
    </row>
    <row r="262" ht="15.75" customHeight="1">
      <c r="B262" s="8"/>
      <c r="I262" s="8"/>
      <c r="J262" s="8"/>
      <c r="K262" s="8"/>
    </row>
    <row r="263" ht="15.75" customHeight="1">
      <c r="B263" s="8"/>
      <c r="I263" s="8"/>
      <c r="J263" s="8"/>
      <c r="K263" s="8"/>
    </row>
    <row r="264" ht="15.75" customHeight="1">
      <c r="B264" s="8"/>
      <c r="I264" s="8"/>
      <c r="J264" s="8"/>
      <c r="K264" s="8"/>
    </row>
    <row r="265" ht="15.75" customHeight="1">
      <c r="B265" s="8"/>
      <c r="I265" s="8"/>
      <c r="J265" s="8"/>
      <c r="K265" s="8"/>
    </row>
    <row r="266" ht="15.75" customHeight="1">
      <c r="B266" s="8"/>
      <c r="I266" s="8"/>
      <c r="J266" s="8"/>
      <c r="K266" s="8"/>
    </row>
    <row r="267" ht="15.75" customHeight="1">
      <c r="B267" s="8"/>
      <c r="I267" s="8"/>
      <c r="J267" s="8"/>
      <c r="K267" s="8"/>
    </row>
    <row r="268" ht="15.75" customHeight="1">
      <c r="B268" s="8"/>
      <c r="I268" s="8"/>
      <c r="J268" s="8"/>
      <c r="K268" s="8"/>
    </row>
    <row r="269" ht="15.75" customHeight="1">
      <c r="B269" s="8"/>
      <c r="I269" s="8"/>
      <c r="J269" s="8"/>
      <c r="K269" s="8"/>
    </row>
    <row r="270" ht="15.75" customHeight="1">
      <c r="B270" s="8"/>
      <c r="I270" s="8"/>
      <c r="J270" s="8"/>
      <c r="K270" s="8"/>
    </row>
    <row r="271" ht="15.75" customHeight="1">
      <c r="B271" s="8"/>
      <c r="I271" s="8"/>
      <c r="J271" s="8"/>
      <c r="K271" s="8"/>
    </row>
    <row r="272" ht="15.75" customHeight="1">
      <c r="B272" s="8"/>
      <c r="I272" s="8"/>
      <c r="J272" s="8"/>
      <c r="K272" s="8"/>
    </row>
    <row r="273" ht="15.75" customHeight="1">
      <c r="B273" s="8"/>
      <c r="I273" s="8"/>
      <c r="J273" s="8"/>
      <c r="K273" s="8"/>
    </row>
    <row r="274" ht="15.75" customHeight="1">
      <c r="B274" s="8"/>
      <c r="I274" s="8"/>
      <c r="J274" s="8"/>
      <c r="K274" s="8"/>
    </row>
    <row r="275" ht="15.75" customHeight="1">
      <c r="B275" s="8"/>
      <c r="I275" s="8"/>
      <c r="J275" s="8"/>
      <c r="K275" s="8"/>
    </row>
    <row r="276" ht="15.75" customHeight="1">
      <c r="B276" s="8"/>
      <c r="I276" s="8"/>
      <c r="J276" s="8"/>
      <c r="K276" s="8"/>
    </row>
    <row r="277" ht="15.75" customHeight="1">
      <c r="B277" s="8"/>
      <c r="I277" s="8"/>
      <c r="J277" s="8"/>
      <c r="K277" s="8"/>
    </row>
    <row r="278" ht="15.75" customHeight="1">
      <c r="B278" s="8"/>
      <c r="I278" s="8"/>
      <c r="J278" s="8"/>
      <c r="K278" s="8"/>
    </row>
    <row r="279" ht="15.75" customHeight="1">
      <c r="B279" s="8"/>
      <c r="I279" s="8"/>
      <c r="J279" s="8"/>
      <c r="K279" s="8"/>
    </row>
    <row r="280" ht="15.75" customHeight="1">
      <c r="B280" s="8"/>
      <c r="I280" s="8"/>
      <c r="J280" s="8"/>
      <c r="K280" s="8"/>
    </row>
    <row r="281" ht="15.75" customHeight="1">
      <c r="B281" s="8"/>
      <c r="I281" s="8"/>
      <c r="J281" s="8"/>
      <c r="K281" s="8"/>
    </row>
    <row r="282" ht="15.75" customHeight="1">
      <c r="B282" s="8"/>
      <c r="I282" s="8"/>
      <c r="J282" s="8"/>
      <c r="K282" s="8"/>
    </row>
    <row r="283" ht="15.75" customHeight="1">
      <c r="B283" s="8"/>
      <c r="I283" s="8"/>
      <c r="J283" s="8"/>
      <c r="K283" s="8"/>
    </row>
    <row r="284" ht="15.75" customHeight="1">
      <c r="B284" s="8"/>
      <c r="I284" s="8"/>
      <c r="J284" s="8"/>
      <c r="K284" s="8"/>
    </row>
    <row r="285" ht="15.75" customHeight="1">
      <c r="B285" s="8"/>
      <c r="I285" s="8"/>
      <c r="J285" s="8"/>
      <c r="K285" s="8"/>
    </row>
    <row r="286" ht="15.75" customHeight="1">
      <c r="B286" s="8"/>
      <c r="I286" s="8"/>
      <c r="J286" s="8"/>
      <c r="K286" s="8"/>
    </row>
    <row r="287" ht="15.75" customHeight="1">
      <c r="B287" s="8"/>
      <c r="I287" s="8"/>
      <c r="J287" s="8"/>
      <c r="K287" s="8"/>
    </row>
    <row r="288" ht="15.75" customHeight="1">
      <c r="B288" s="8"/>
      <c r="I288" s="8"/>
      <c r="J288" s="8"/>
      <c r="K288" s="8"/>
    </row>
    <row r="289" ht="15.75" customHeight="1">
      <c r="B289" s="8"/>
      <c r="I289" s="8"/>
      <c r="J289" s="8"/>
      <c r="K289" s="8"/>
    </row>
    <row r="290" ht="15.75" customHeight="1">
      <c r="B290" s="8"/>
      <c r="I290" s="8"/>
      <c r="J290" s="8"/>
      <c r="K290" s="8"/>
    </row>
    <row r="291" ht="15.75" customHeight="1">
      <c r="B291" s="8"/>
      <c r="I291" s="8"/>
      <c r="J291" s="8"/>
      <c r="K291" s="8"/>
    </row>
    <row r="292" ht="15.75" customHeight="1">
      <c r="B292" s="8"/>
      <c r="I292" s="8"/>
      <c r="J292" s="8"/>
      <c r="K292" s="8"/>
    </row>
    <row r="293" ht="15.75" customHeight="1">
      <c r="B293" s="8"/>
      <c r="I293" s="8"/>
      <c r="J293" s="8"/>
      <c r="K293" s="8"/>
    </row>
    <row r="294" ht="15.75" customHeight="1">
      <c r="B294" s="8"/>
      <c r="I294" s="8"/>
      <c r="J294" s="8"/>
      <c r="K294" s="8"/>
    </row>
    <row r="295" ht="15.75" customHeight="1">
      <c r="B295" s="8"/>
      <c r="I295" s="8"/>
      <c r="J295" s="8"/>
      <c r="K295" s="8"/>
    </row>
    <row r="296" ht="15.75" customHeight="1">
      <c r="B296" s="8"/>
      <c r="I296" s="8"/>
      <c r="J296" s="8"/>
      <c r="K296" s="8"/>
    </row>
    <row r="297" ht="15.75" customHeight="1">
      <c r="B297" s="8"/>
      <c r="I297" s="8"/>
      <c r="J297" s="8"/>
      <c r="K297" s="8"/>
    </row>
    <row r="298" ht="15.75" customHeight="1">
      <c r="B298" s="8"/>
      <c r="I298" s="8"/>
      <c r="J298" s="8"/>
      <c r="K298" s="8"/>
    </row>
    <row r="299" ht="15.75" customHeight="1">
      <c r="B299" s="8"/>
      <c r="I299" s="8"/>
      <c r="J299" s="8"/>
      <c r="K299" s="8"/>
    </row>
    <row r="300" ht="15.75" customHeight="1">
      <c r="B300" s="8"/>
      <c r="I300" s="8"/>
      <c r="J300" s="8"/>
      <c r="K300" s="8"/>
    </row>
    <row r="301" ht="15.75" customHeight="1">
      <c r="B301" s="8"/>
      <c r="I301" s="8"/>
      <c r="J301" s="8"/>
      <c r="K301" s="8"/>
    </row>
    <row r="302" ht="15.75" customHeight="1">
      <c r="B302" s="8"/>
      <c r="I302" s="8"/>
      <c r="J302" s="8"/>
      <c r="K302" s="8"/>
    </row>
    <row r="303" ht="15.75" customHeight="1">
      <c r="B303" s="8"/>
      <c r="I303" s="8"/>
      <c r="J303" s="8"/>
      <c r="K303" s="8"/>
    </row>
    <row r="304" ht="15.75" customHeight="1">
      <c r="B304" s="8"/>
      <c r="I304" s="8"/>
      <c r="J304" s="8"/>
      <c r="K304" s="8"/>
    </row>
    <row r="305" ht="15.75" customHeight="1">
      <c r="B305" s="8"/>
      <c r="I305" s="8"/>
      <c r="J305" s="8"/>
      <c r="K305" s="8"/>
    </row>
    <row r="306" ht="15.75" customHeight="1">
      <c r="B306" s="8"/>
      <c r="I306" s="8"/>
      <c r="J306" s="8"/>
      <c r="K306" s="8"/>
    </row>
    <row r="307" ht="15.75" customHeight="1">
      <c r="B307" s="8"/>
      <c r="I307" s="8"/>
      <c r="J307" s="8"/>
      <c r="K307" s="8"/>
    </row>
    <row r="308" ht="15.75" customHeight="1">
      <c r="B308" s="8"/>
      <c r="I308" s="8"/>
      <c r="J308" s="8"/>
      <c r="K308" s="8"/>
    </row>
    <row r="309" ht="15.75" customHeight="1">
      <c r="B309" s="8"/>
      <c r="I309" s="8"/>
      <c r="J309" s="8"/>
      <c r="K309" s="8"/>
    </row>
    <row r="310" ht="15.75" customHeight="1">
      <c r="B310" s="8"/>
      <c r="I310" s="8"/>
      <c r="J310" s="8"/>
      <c r="K310" s="8"/>
    </row>
    <row r="311" ht="15.75" customHeight="1">
      <c r="B311" s="8"/>
      <c r="I311" s="8"/>
      <c r="J311" s="8"/>
      <c r="K311" s="8"/>
    </row>
    <row r="312" ht="15.75" customHeight="1">
      <c r="B312" s="8"/>
      <c r="I312" s="8"/>
      <c r="J312" s="8"/>
      <c r="K312" s="8"/>
    </row>
    <row r="313" ht="15.75" customHeight="1">
      <c r="B313" s="8"/>
      <c r="I313" s="8"/>
      <c r="J313" s="8"/>
      <c r="K313" s="8"/>
    </row>
    <row r="314" ht="15.75" customHeight="1">
      <c r="B314" s="8"/>
      <c r="I314" s="8"/>
      <c r="J314" s="8"/>
      <c r="K314" s="8"/>
    </row>
    <row r="315" ht="15.75" customHeight="1">
      <c r="B315" s="8"/>
      <c r="I315" s="8"/>
      <c r="J315" s="8"/>
      <c r="K315" s="8"/>
    </row>
    <row r="316" ht="15.75" customHeight="1">
      <c r="B316" s="8"/>
      <c r="I316" s="8"/>
      <c r="J316" s="8"/>
      <c r="K316" s="8"/>
    </row>
    <row r="317" ht="15.75" customHeight="1">
      <c r="B317" s="8"/>
      <c r="I317" s="8"/>
      <c r="J317" s="8"/>
      <c r="K317" s="8"/>
    </row>
    <row r="318" ht="15.75" customHeight="1">
      <c r="B318" s="8"/>
      <c r="I318" s="8"/>
      <c r="J318" s="8"/>
      <c r="K318" s="8"/>
    </row>
    <row r="319" ht="15.75" customHeight="1">
      <c r="B319" s="8"/>
      <c r="I319" s="8"/>
      <c r="J319" s="8"/>
      <c r="K319" s="8"/>
    </row>
    <row r="320" ht="15.75" customHeight="1">
      <c r="B320" s="8"/>
      <c r="I320" s="8"/>
      <c r="J320" s="8"/>
      <c r="K320" s="8"/>
    </row>
    <row r="321" ht="15.75" customHeight="1">
      <c r="B321" s="8"/>
      <c r="I321" s="8"/>
      <c r="J321" s="8"/>
      <c r="K321" s="8"/>
    </row>
    <row r="322" ht="15.75" customHeight="1">
      <c r="B322" s="8"/>
      <c r="I322" s="8"/>
      <c r="J322" s="8"/>
      <c r="K322" s="8"/>
    </row>
    <row r="323" ht="15.75" customHeight="1">
      <c r="B323" s="8"/>
      <c r="I323" s="8"/>
      <c r="J323" s="8"/>
      <c r="K323" s="8"/>
    </row>
    <row r="324" ht="15.75" customHeight="1">
      <c r="B324" s="8"/>
      <c r="I324" s="8"/>
      <c r="J324" s="8"/>
      <c r="K324" s="8"/>
    </row>
    <row r="325" ht="15.75" customHeight="1">
      <c r="B325" s="8"/>
      <c r="I325" s="8"/>
      <c r="J325" s="8"/>
      <c r="K325" s="8"/>
    </row>
    <row r="326" ht="15.75" customHeight="1">
      <c r="B326" s="8"/>
      <c r="I326" s="8"/>
      <c r="J326" s="8"/>
      <c r="K326" s="8"/>
    </row>
    <row r="327" ht="15.75" customHeight="1">
      <c r="B327" s="8"/>
      <c r="I327" s="8"/>
      <c r="J327" s="8"/>
      <c r="K327" s="8"/>
    </row>
    <row r="328" ht="15.75" customHeight="1">
      <c r="B328" s="8"/>
      <c r="I328" s="8"/>
      <c r="J328" s="8"/>
      <c r="K328" s="8"/>
    </row>
    <row r="329" ht="15.75" customHeight="1">
      <c r="B329" s="8"/>
      <c r="I329" s="8"/>
      <c r="J329" s="8"/>
      <c r="K329" s="8"/>
    </row>
    <row r="330" ht="15.75" customHeight="1">
      <c r="B330" s="8"/>
      <c r="I330" s="8"/>
      <c r="J330" s="8"/>
      <c r="K330" s="8"/>
    </row>
    <row r="331" ht="15.75" customHeight="1">
      <c r="B331" s="8"/>
      <c r="I331" s="8"/>
      <c r="J331" s="8"/>
      <c r="K331" s="8"/>
    </row>
    <row r="332" ht="15.75" customHeight="1">
      <c r="B332" s="8"/>
      <c r="I332" s="8"/>
      <c r="J332" s="8"/>
      <c r="K332" s="8"/>
    </row>
    <row r="333" ht="15.75" customHeight="1">
      <c r="B333" s="8"/>
      <c r="I333" s="8"/>
      <c r="J333" s="8"/>
      <c r="K333" s="8"/>
    </row>
    <row r="334" ht="15.75" customHeight="1">
      <c r="B334" s="8"/>
      <c r="I334" s="8"/>
      <c r="J334" s="8"/>
      <c r="K334" s="8"/>
    </row>
    <row r="335" ht="15.75" customHeight="1">
      <c r="B335" s="8"/>
      <c r="I335" s="8"/>
      <c r="J335" s="8"/>
      <c r="K335" s="8"/>
    </row>
    <row r="336" ht="15.75" customHeight="1">
      <c r="B336" s="8"/>
      <c r="I336" s="8"/>
      <c r="J336" s="8"/>
      <c r="K336" s="8"/>
    </row>
    <row r="337" ht="15.75" customHeight="1">
      <c r="B337" s="8"/>
      <c r="I337" s="8"/>
      <c r="J337" s="8"/>
      <c r="K337" s="8"/>
    </row>
    <row r="338" ht="15.75" customHeight="1">
      <c r="B338" s="8"/>
      <c r="I338" s="8"/>
      <c r="J338" s="8"/>
      <c r="K338" s="8"/>
    </row>
    <row r="339" ht="15.75" customHeight="1">
      <c r="B339" s="8"/>
      <c r="I339" s="8"/>
      <c r="J339" s="8"/>
      <c r="K339" s="8"/>
    </row>
    <row r="340" ht="15.75" customHeight="1">
      <c r="B340" s="8"/>
      <c r="I340" s="8"/>
      <c r="J340" s="8"/>
      <c r="K340" s="8"/>
    </row>
    <row r="341" ht="15.75" customHeight="1">
      <c r="B341" s="8"/>
      <c r="I341" s="8"/>
      <c r="J341" s="8"/>
      <c r="K341" s="8"/>
    </row>
    <row r="342" ht="15.75" customHeight="1">
      <c r="B342" s="8"/>
      <c r="I342" s="8"/>
      <c r="J342" s="8"/>
      <c r="K342" s="8"/>
    </row>
    <row r="343" ht="15.75" customHeight="1">
      <c r="B343" s="8"/>
      <c r="I343" s="8"/>
      <c r="J343" s="8"/>
      <c r="K343" s="8"/>
    </row>
    <row r="344" ht="15.75" customHeight="1">
      <c r="B344" s="8"/>
      <c r="I344" s="8"/>
      <c r="J344" s="8"/>
      <c r="K344" s="8"/>
    </row>
    <row r="345" ht="15.75" customHeight="1">
      <c r="B345" s="8"/>
      <c r="I345" s="8"/>
      <c r="J345" s="8"/>
      <c r="K345" s="8"/>
    </row>
    <row r="346" ht="15.75" customHeight="1">
      <c r="B346" s="8"/>
      <c r="I346" s="8"/>
      <c r="J346" s="8"/>
      <c r="K346" s="8"/>
    </row>
    <row r="347" ht="15.75" customHeight="1">
      <c r="B347" s="8"/>
      <c r="I347" s="8"/>
      <c r="J347" s="8"/>
      <c r="K347" s="8"/>
    </row>
    <row r="348" ht="15.75" customHeight="1">
      <c r="B348" s="8"/>
      <c r="I348" s="8"/>
      <c r="J348" s="8"/>
      <c r="K348" s="8"/>
    </row>
    <row r="349" ht="15.75" customHeight="1">
      <c r="B349" s="8"/>
      <c r="I349" s="8"/>
      <c r="J349" s="8"/>
      <c r="K349" s="8"/>
    </row>
    <row r="350" ht="15.75" customHeight="1">
      <c r="B350" s="8"/>
      <c r="I350" s="8"/>
      <c r="J350" s="8"/>
      <c r="K350" s="8"/>
    </row>
    <row r="351" ht="15.75" customHeight="1">
      <c r="B351" s="8"/>
      <c r="I351" s="8"/>
      <c r="J351" s="8"/>
      <c r="K351" s="8"/>
    </row>
    <row r="352" ht="15.75" customHeight="1">
      <c r="B352" s="8"/>
      <c r="I352" s="8"/>
      <c r="J352" s="8"/>
      <c r="K352" s="8"/>
    </row>
    <row r="353" ht="15.75" customHeight="1">
      <c r="B353" s="8"/>
      <c r="I353" s="8"/>
      <c r="J353" s="8"/>
      <c r="K353" s="8"/>
    </row>
    <row r="354" ht="15.75" customHeight="1">
      <c r="B354" s="8"/>
      <c r="I354" s="8"/>
      <c r="J354" s="8"/>
      <c r="K354" s="8"/>
    </row>
    <row r="355" ht="15.75" customHeight="1">
      <c r="B355" s="8"/>
      <c r="I355" s="8"/>
      <c r="J355" s="8"/>
      <c r="K355" s="8"/>
    </row>
    <row r="356" ht="15.75" customHeight="1">
      <c r="B356" s="8"/>
      <c r="I356" s="8"/>
      <c r="J356" s="8"/>
      <c r="K356" s="8"/>
    </row>
    <row r="357" ht="15.75" customHeight="1">
      <c r="B357" s="8"/>
      <c r="I357" s="8"/>
      <c r="J357" s="8"/>
      <c r="K357" s="8"/>
    </row>
    <row r="358" ht="15.75" customHeight="1">
      <c r="B358" s="8"/>
      <c r="I358" s="8"/>
      <c r="J358" s="8"/>
      <c r="K358" s="8"/>
    </row>
    <row r="359" ht="15.75" customHeight="1">
      <c r="B359" s="8"/>
      <c r="I359" s="8"/>
      <c r="J359" s="8"/>
      <c r="K359" s="8"/>
    </row>
    <row r="360" ht="15.75" customHeight="1">
      <c r="B360" s="8"/>
      <c r="I360" s="8"/>
      <c r="J360" s="8"/>
      <c r="K360" s="8"/>
    </row>
    <row r="361" ht="15.75" customHeight="1">
      <c r="B361" s="8"/>
      <c r="I361" s="8"/>
      <c r="J361" s="8"/>
      <c r="K361" s="8"/>
    </row>
    <row r="362" ht="15.75" customHeight="1">
      <c r="B362" s="8"/>
      <c r="I362" s="8"/>
      <c r="J362" s="8"/>
      <c r="K362" s="8"/>
    </row>
    <row r="363" ht="15.75" customHeight="1">
      <c r="B363" s="8"/>
      <c r="I363" s="8"/>
      <c r="J363" s="8"/>
      <c r="K363" s="8"/>
    </row>
    <row r="364" ht="15.75" customHeight="1">
      <c r="B364" s="8"/>
      <c r="I364" s="8"/>
      <c r="J364" s="8"/>
      <c r="K364" s="8"/>
    </row>
    <row r="365" ht="15.75" customHeight="1">
      <c r="B365" s="8"/>
      <c r="I365" s="8"/>
      <c r="J365" s="8"/>
      <c r="K365" s="8"/>
    </row>
    <row r="366" ht="15.75" customHeight="1">
      <c r="B366" s="8"/>
      <c r="I366" s="8"/>
      <c r="J366" s="8"/>
      <c r="K366" s="8"/>
    </row>
    <row r="367" ht="15.75" customHeight="1">
      <c r="B367" s="8"/>
      <c r="I367" s="8"/>
      <c r="J367" s="8"/>
      <c r="K367" s="8"/>
    </row>
    <row r="368" ht="15.75" customHeight="1">
      <c r="B368" s="8"/>
      <c r="I368" s="8"/>
      <c r="J368" s="8"/>
      <c r="K368" s="8"/>
    </row>
    <row r="369" ht="15.75" customHeight="1">
      <c r="B369" s="8"/>
      <c r="I369" s="8"/>
      <c r="J369" s="8"/>
      <c r="K369" s="8"/>
    </row>
    <row r="370" ht="15.75" customHeight="1">
      <c r="B370" s="8"/>
      <c r="I370" s="8"/>
      <c r="J370" s="8"/>
      <c r="K370" s="8"/>
    </row>
    <row r="371" ht="15.75" customHeight="1">
      <c r="B371" s="8"/>
      <c r="I371" s="8"/>
      <c r="J371" s="8"/>
      <c r="K371" s="8"/>
    </row>
    <row r="372" ht="15.75" customHeight="1">
      <c r="B372" s="8"/>
      <c r="I372" s="8"/>
      <c r="J372" s="8"/>
      <c r="K372" s="8"/>
    </row>
    <row r="373" ht="15.75" customHeight="1">
      <c r="B373" s="8"/>
      <c r="I373" s="8"/>
      <c r="J373" s="8"/>
      <c r="K373" s="8"/>
    </row>
    <row r="374" ht="15.75" customHeight="1">
      <c r="B374" s="8"/>
      <c r="I374" s="8"/>
      <c r="J374" s="8"/>
      <c r="K374" s="8"/>
    </row>
    <row r="375" ht="15.75" customHeight="1">
      <c r="B375" s="8"/>
      <c r="I375" s="8"/>
      <c r="J375" s="8"/>
      <c r="K375" s="8"/>
    </row>
    <row r="376" ht="15.75" customHeight="1">
      <c r="B376" s="8"/>
      <c r="I376" s="8"/>
      <c r="J376" s="8"/>
      <c r="K376" s="8"/>
    </row>
    <row r="377" ht="15.75" customHeight="1">
      <c r="B377" s="8"/>
      <c r="I377" s="8"/>
      <c r="J377" s="8"/>
      <c r="K377" s="8"/>
    </row>
    <row r="378" ht="15.75" customHeight="1">
      <c r="B378" s="8"/>
      <c r="I378" s="8"/>
      <c r="J378" s="8"/>
      <c r="K378" s="8"/>
    </row>
    <row r="379" ht="15.75" customHeight="1">
      <c r="B379" s="8"/>
      <c r="I379" s="8"/>
      <c r="J379" s="8"/>
      <c r="K379" s="8"/>
    </row>
    <row r="380" ht="15.75" customHeight="1">
      <c r="B380" s="8"/>
      <c r="I380" s="8"/>
      <c r="J380" s="8"/>
      <c r="K380" s="8"/>
    </row>
    <row r="381" ht="15.75" customHeight="1">
      <c r="B381" s="8"/>
      <c r="I381" s="8"/>
      <c r="J381" s="8"/>
      <c r="K381" s="8"/>
    </row>
    <row r="382" ht="15.75" customHeight="1">
      <c r="B382" s="8"/>
      <c r="I382" s="8"/>
      <c r="J382" s="8"/>
      <c r="K382" s="8"/>
    </row>
    <row r="383" ht="15.75" customHeight="1">
      <c r="B383" s="8"/>
      <c r="I383" s="8"/>
      <c r="J383" s="8"/>
      <c r="K383" s="8"/>
    </row>
    <row r="384" ht="15.75" customHeight="1">
      <c r="B384" s="8"/>
      <c r="I384" s="8"/>
      <c r="J384" s="8"/>
      <c r="K384" s="8"/>
    </row>
    <row r="385" ht="15.75" customHeight="1">
      <c r="B385" s="8"/>
      <c r="I385" s="8"/>
      <c r="J385" s="8"/>
      <c r="K385" s="8"/>
    </row>
    <row r="386" ht="15.75" customHeight="1">
      <c r="B386" s="8"/>
      <c r="I386" s="8"/>
      <c r="J386" s="8"/>
      <c r="K386" s="8"/>
    </row>
    <row r="387" ht="15.75" customHeight="1">
      <c r="B387" s="8"/>
      <c r="I387" s="8"/>
      <c r="J387" s="8"/>
      <c r="K387" s="8"/>
    </row>
    <row r="388" ht="15.75" customHeight="1">
      <c r="B388" s="8"/>
      <c r="I388" s="8"/>
      <c r="J388" s="8"/>
      <c r="K388" s="8"/>
    </row>
    <row r="389" ht="15.75" customHeight="1">
      <c r="B389" s="8"/>
      <c r="I389" s="8"/>
      <c r="J389" s="8"/>
      <c r="K389" s="8"/>
    </row>
    <row r="390" ht="15.75" customHeight="1">
      <c r="B390" s="8"/>
      <c r="I390" s="8"/>
      <c r="J390" s="8"/>
      <c r="K390" s="8"/>
    </row>
    <row r="391" ht="15.75" customHeight="1">
      <c r="B391" s="8"/>
      <c r="I391" s="8"/>
      <c r="J391" s="8"/>
      <c r="K391" s="8"/>
    </row>
    <row r="392" ht="15.75" customHeight="1">
      <c r="B392" s="8"/>
      <c r="I392" s="8"/>
      <c r="J392" s="8"/>
      <c r="K392" s="8"/>
    </row>
    <row r="393" ht="15.75" customHeight="1">
      <c r="B393" s="8"/>
      <c r="I393" s="8"/>
      <c r="J393" s="8"/>
      <c r="K393" s="8"/>
    </row>
    <row r="394" ht="15.75" customHeight="1">
      <c r="B394" s="8"/>
      <c r="I394" s="8"/>
      <c r="J394" s="8"/>
      <c r="K394" s="8"/>
    </row>
    <row r="395" ht="15.75" customHeight="1">
      <c r="B395" s="8"/>
      <c r="I395" s="8"/>
      <c r="J395" s="8"/>
      <c r="K395" s="8"/>
    </row>
    <row r="396" ht="15.75" customHeight="1">
      <c r="B396" s="8"/>
      <c r="I396" s="8"/>
      <c r="J396" s="8"/>
      <c r="K396" s="8"/>
    </row>
    <row r="397" ht="15.75" customHeight="1">
      <c r="B397" s="8"/>
      <c r="I397" s="8"/>
      <c r="J397" s="8"/>
      <c r="K397" s="8"/>
    </row>
    <row r="398" ht="15.75" customHeight="1">
      <c r="B398" s="8"/>
      <c r="I398" s="8"/>
      <c r="J398" s="8"/>
      <c r="K398" s="8"/>
    </row>
    <row r="399" ht="15.75" customHeight="1">
      <c r="B399" s="8"/>
      <c r="I399" s="8"/>
      <c r="J399" s="8"/>
      <c r="K399" s="8"/>
    </row>
    <row r="400" ht="15.75" customHeight="1">
      <c r="B400" s="8"/>
      <c r="I400" s="8"/>
      <c r="J400" s="8"/>
      <c r="K400" s="8"/>
    </row>
    <row r="401" ht="15.75" customHeight="1">
      <c r="B401" s="8"/>
      <c r="I401" s="8"/>
      <c r="J401" s="8"/>
      <c r="K401" s="8"/>
    </row>
    <row r="402" ht="15.75" customHeight="1">
      <c r="B402" s="8"/>
      <c r="I402" s="8"/>
      <c r="J402" s="8"/>
      <c r="K402" s="8"/>
    </row>
    <row r="403" ht="15.75" customHeight="1">
      <c r="B403" s="8"/>
      <c r="I403" s="8"/>
      <c r="J403" s="8"/>
      <c r="K403" s="8"/>
    </row>
    <row r="404" ht="15.75" customHeight="1">
      <c r="B404" s="8"/>
      <c r="I404" s="8"/>
      <c r="J404" s="8"/>
      <c r="K404" s="8"/>
    </row>
    <row r="405" ht="15.75" customHeight="1">
      <c r="B405" s="8"/>
      <c r="I405" s="8"/>
      <c r="J405" s="8"/>
      <c r="K405" s="8"/>
    </row>
    <row r="406" ht="15.75" customHeight="1">
      <c r="B406" s="8"/>
      <c r="I406" s="8"/>
      <c r="J406" s="8"/>
      <c r="K406" s="8"/>
    </row>
    <row r="407" ht="15.75" customHeight="1">
      <c r="B407" s="8"/>
      <c r="I407" s="8"/>
      <c r="J407" s="8"/>
      <c r="K407" s="8"/>
    </row>
    <row r="408" ht="15.75" customHeight="1">
      <c r="B408" s="8"/>
      <c r="I408" s="8"/>
      <c r="J408" s="8"/>
      <c r="K408" s="8"/>
    </row>
    <row r="409" ht="15.75" customHeight="1">
      <c r="B409" s="8"/>
      <c r="I409" s="8"/>
      <c r="J409" s="8"/>
      <c r="K409" s="8"/>
    </row>
    <row r="410" ht="15.75" customHeight="1">
      <c r="B410" s="8"/>
      <c r="I410" s="8"/>
      <c r="J410" s="8"/>
      <c r="K410" s="8"/>
    </row>
    <row r="411" ht="15.75" customHeight="1">
      <c r="B411" s="8"/>
      <c r="I411" s="8"/>
      <c r="J411" s="8"/>
      <c r="K411" s="8"/>
    </row>
    <row r="412" ht="15.75" customHeight="1">
      <c r="B412" s="8"/>
      <c r="I412" s="8"/>
      <c r="J412" s="8"/>
      <c r="K412" s="8"/>
    </row>
    <row r="413" ht="15.75" customHeight="1">
      <c r="B413" s="8"/>
      <c r="I413" s="8"/>
      <c r="J413" s="8"/>
      <c r="K413" s="8"/>
    </row>
    <row r="414" ht="15.75" customHeight="1">
      <c r="B414" s="8"/>
      <c r="I414" s="8"/>
      <c r="J414" s="8"/>
      <c r="K414" s="8"/>
    </row>
    <row r="415" ht="15.75" customHeight="1">
      <c r="B415" s="8"/>
      <c r="I415" s="8"/>
      <c r="J415" s="8"/>
      <c r="K415" s="8"/>
    </row>
    <row r="416" ht="15.75" customHeight="1">
      <c r="B416" s="8"/>
      <c r="I416" s="8"/>
      <c r="J416" s="8"/>
      <c r="K416" s="8"/>
    </row>
    <row r="417" ht="15.75" customHeight="1">
      <c r="B417" s="8"/>
      <c r="I417" s="8"/>
      <c r="J417" s="8"/>
      <c r="K417" s="8"/>
    </row>
    <row r="418" ht="15.75" customHeight="1">
      <c r="B418" s="8"/>
      <c r="I418" s="8"/>
      <c r="J418" s="8"/>
      <c r="K418" s="8"/>
    </row>
    <row r="419" ht="15.75" customHeight="1">
      <c r="B419" s="8"/>
      <c r="I419" s="8"/>
      <c r="J419" s="8"/>
      <c r="K419" s="8"/>
    </row>
    <row r="420" ht="15.75" customHeight="1">
      <c r="B420" s="8"/>
      <c r="I420" s="8"/>
      <c r="J420" s="8"/>
      <c r="K420" s="8"/>
    </row>
    <row r="421" ht="15.75" customHeight="1">
      <c r="B421" s="8"/>
      <c r="I421" s="8"/>
      <c r="J421" s="8"/>
      <c r="K421" s="8"/>
    </row>
    <row r="422" ht="15.75" customHeight="1">
      <c r="B422" s="8"/>
      <c r="I422" s="8"/>
      <c r="J422" s="8"/>
      <c r="K422" s="8"/>
    </row>
    <row r="423" ht="15.75" customHeight="1">
      <c r="B423" s="8"/>
      <c r="I423" s="8"/>
      <c r="J423" s="8"/>
      <c r="K423" s="8"/>
    </row>
    <row r="424" ht="15.75" customHeight="1">
      <c r="B424" s="8"/>
      <c r="I424" s="8"/>
      <c r="J424" s="8"/>
      <c r="K424" s="8"/>
    </row>
    <row r="425" ht="15.75" customHeight="1">
      <c r="B425" s="8"/>
      <c r="I425" s="8"/>
      <c r="J425" s="8"/>
      <c r="K425" s="8"/>
    </row>
    <row r="426" ht="15.75" customHeight="1">
      <c r="B426" s="8"/>
      <c r="I426" s="8"/>
      <c r="J426" s="8"/>
      <c r="K426" s="8"/>
    </row>
    <row r="427" ht="15.75" customHeight="1">
      <c r="B427" s="8"/>
      <c r="I427" s="8"/>
      <c r="J427" s="8"/>
      <c r="K427" s="8"/>
    </row>
    <row r="428" ht="15.75" customHeight="1">
      <c r="B428" s="8"/>
      <c r="I428" s="8"/>
      <c r="J428" s="8"/>
      <c r="K428" s="8"/>
    </row>
    <row r="429" ht="15.75" customHeight="1">
      <c r="B429" s="8"/>
      <c r="I429" s="8"/>
      <c r="J429" s="8"/>
      <c r="K429" s="8"/>
    </row>
    <row r="430" ht="15.75" customHeight="1">
      <c r="B430" s="8"/>
      <c r="I430" s="8"/>
      <c r="J430" s="8"/>
      <c r="K430" s="8"/>
    </row>
    <row r="431" ht="15.75" customHeight="1">
      <c r="B431" s="8"/>
      <c r="I431" s="8"/>
      <c r="J431" s="8"/>
      <c r="K431" s="8"/>
    </row>
    <row r="432" ht="15.75" customHeight="1">
      <c r="B432" s="8"/>
      <c r="I432" s="8"/>
      <c r="J432" s="8"/>
      <c r="K432" s="8"/>
    </row>
    <row r="433" ht="15.75" customHeight="1">
      <c r="B433" s="8"/>
      <c r="I433" s="8"/>
      <c r="J433" s="8"/>
      <c r="K433" s="8"/>
    </row>
    <row r="434" ht="15.75" customHeight="1">
      <c r="B434" s="8"/>
      <c r="I434" s="8"/>
      <c r="J434" s="8"/>
      <c r="K434" s="8"/>
    </row>
    <row r="435" ht="15.75" customHeight="1">
      <c r="B435" s="8"/>
      <c r="I435" s="8"/>
      <c r="J435" s="8"/>
      <c r="K435" s="8"/>
    </row>
    <row r="436" ht="15.75" customHeight="1">
      <c r="B436" s="8"/>
      <c r="I436" s="8"/>
      <c r="J436" s="8"/>
      <c r="K436" s="8"/>
    </row>
    <row r="437" ht="15.75" customHeight="1">
      <c r="B437" s="8"/>
      <c r="I437" s="8"/>
      <c r="J437" s="8"/>
      <c r="K437" s="8"/>
    </row>
    <row r="438" ht="15.75" customHeight="1">
      <c r="B438" s="8"/>
      <c r="I438" s="8"/>
      <c r="J438" s="8"/>
      <c r="K438" s="8"/>
    </row>
    <row r="439" ht="15.75" customHeight="1">
      <c r="B439" s="8"/>
      <c r="I439" s="8"/>
      <c r="J439" s="8"/>
      <c r="K439" s="8"/>
    </row>
    <row r="440" ht="15.75" customHeight="1">
      <c r="B440" s="8"/>
      <c r="I440" s="8"/>
      <c r="J440" s="8"/>
      <c r="K440" s="8"/>
    </row>
    <row r="441" ht="15.75" customHeight="1">
      <c r="B441" s="8"/>
      <c r="I441" s="8"/>
      <c r="J441" s="8"/>
      <c r="K441" s="8"/>
    </row>
    <row r="442" ht="15.75" customHeight="1">
      <c r="B442" s="8"/>
      <c r="I442" s="8"/>
      <c r="J442" s="8"/>
      <c r="K442" s="8"/>
    </row>
    <row r="443" ht="15.75" customHeight="1">
      <c r="B443" s="8"/>
      <c r="I443" s="8"/>
      <c r="J443" s="8"/>
      <c r="K443" s="8"/>
    </row>
    <row r="444" ht="15.75" customHeight="1">
      <c r="B444" s="8"/>
      <c r="I444" s="8"/>
      <c r="J444" s="8"/>
      <c r="K444" s="8"/>
    </row>
    <row r="445" ht="15.75" customHeight="1">
      <c r="B445" s="8"/>
      <c r="I445" s="8"/>
      <c r="J445" s="8"/>
      <c r="K445" s="8"/>
    </row>
    <row r="446" ht="15.75" customHeight="1">
      <c r="B446" s="8"/>
      <c r="I446" s="8"/>
      <c r="J446" s="8"/>
      <c r="K446" s="8"/>
    </row>
    <row r="447" ht="15.75" customHeight="1">
      <c r="B447" s="8"/>
      <c r="I447" s="8"/>
      <c r="J447" s="8"/>
      <c r="K447" s="8"/>
    </row>
    <row r="448" ht="15.75" customHeight="1">
      <c r="B448" s="8"/>
      <c r="I448" s="8"/>
      <c r="J448" s="8"/>
      <c r="K448" s="8"/>
    </row>
    <row r="449" ht="15.75" customHeight="1">
      <c r="B449" s="8"/>
      <c r="I449" s="8"/>
      <c r="J449" s="8"/>
      <c r="K449" s="8"/>
    </row>
    <row r="450" ht="15.75" customHeight="1">
      <c r="B450" s="8"/>
      <c r="I450" s="8"/>
      <c r="J450" s="8"/>
      <c r="K450" s="8"/>
    </row>
    <row r="451" ht="15.75" customHeight="1">
      <c r="B451" s="8"/>
      <c r="I451" s="8"/>
      <c r="J451" s="8"/>
      <c r="K451" s="8"/>
    </row>
    <row r="452" ht="15.75" customHeight="1">
      <c r="B452" s="8"/>
      <c r="I452" s="8"/>
      <c r="J452" s="8"/>
      <c r="K452" s="8"/>
    </row>
    <row r="453" ht="15.75" customHeight="1">
      <c r="B453" s="8"/>
      <c r="I453" s="8"/>
      <c r="J453" s="8"/>
      <c r="K453" s="8"/>
    </row>
    <row r="454" ht="15.75" customHeight="1">
      <c r="B454" s="8"/>
      <c r="I454" s="8"/>
      <c r="J454" s="8"/>
      <c r="K454" s="8"/>
    </row>
    <row r="455" ht="15.75" customHeight="1">
      <c r="B455" s="8"/>
      <c r="I455" s="8"/>
      <c r="J455" s="8"/>
      <c r="K455" s="8"/>
    </row>
    <row r="456" ht="15.75" customHeight="1">
      <c r="B456" s="8"/>
      <c r="I456" s="8"/>
      <c r="J456" s="8"/>
      <c r="K456" s="8"/>
    </row>
    <row r="457" ht="15.75" customHeight="1">
      <c r="B457" s="8"/>
      <c r="I457" s="8"/>
      <c r="J457" s="8"/>
      <c r="K457" s="8"/>
    </row>
    <row r="458" ht="15.75" customHeight="1">
      <c r="B458" s="8"/>
      <c r="I458" s="8"/>
      <c r="J458" s="8"/>
      <c r="K458" s="8"/>
    </row>
    <row r="459" ht="15.75" customHeight="1">
      <c r="B459" s="8"/>
      <c r="I459" s="8"/>
      <c r="J459" s="8"/>
      <c r="K459" s="8"/>
    </row>
    <row r="460" ht="15.75" customHeight="1">
      <c r="B460" s="8"/>
      <c r="I460" s="8"/>
      <c r="J460" s="8"/>
      <c r="K460" s="8"/>
    </row>
    <row r="461" ht="15.75" customHeight="1">
      <c r="B461" s="8"/>
      <c r="I461" s="8"/>
      <c r="J461" s="8"/>
      <c r="K461" s="8"/>
    </row>
    <row r="462" ht="15.75" customHeight="1">
      <c r="B462" s="8"/>
      <c r="I462" s="8"/>
      <c r="J462" s="8"/>
      <c r="K462" s="8"/>
    </row>
    <row r="463" ht="15.75" customHeight="1">
      <c r="B463" s="8"/>
      <c r="I463" s="8"/>
      <c r="J463" s="8"/>
      <c r="K463" s="8"/>
    </row>
    <row r="464" ht="15.75" customHeight="1">
      <c r="B464" s="8"/>
      <c r="I464" s="8"/>
      <c r="J464" s="8"/>
      <c r="K464" s="8"/>
    </row>
    <row r="465" ht="15.75" customHeight="1">
      <c r="B465" s="8"/>
      <c r="I465" s="8"/>
      <c r="J465" s="8"/>
      <c r="K465" s="8"/>
    </row>
    <row r="466" ht="15.75" customHeight="1">
      <c r="B466" s="8"/>
      <c r="I466" s="8"/>
      <c r="J466" s="8"/>
      <c r="K466" s="8"/>
    </row>
    <row r="467" ht="15.75" customHeight="1">
      <c r="B467" s="8"/>
      <c r="I467" s="8"/>
      <c r="J467" s="8"/>
      <c r="K467" s="8"/>
    </row>
    <row r="468" ht="15.75" customHeight="1">
      <c r="B468" s="8"/>
      <c r="I468" s="8"/>
      <c r="J468" s="8"/>
      <c r="K468" s="8"/>
    </row>
    <row r="469" ht="15.75" customHeight="1">
      <c r="B469" s="8"/>
      <c r="I469" s="8"/>
      <c r="J469" s="8"/>
      <c r="K469" s="8"/>
    </row>
    <row r="470" ht="15.75" customHeight="1">
      <c r="B470" s="8"/>
      <c r="I470" s="8"/>
      <c r="J470" s="8"/>
      <c r="K470" s="8"/>
    </row>
    <row r="471" ht="15.75" customHeight="1">
      <c r="B471" s="8"/>
      <c r="I471" s="8"/>
      <c r="J471" s="8"/>
      <c r="K471" s="8"/>
    </row>
    <row r="472" ht="15.75" customHeight="1">
      <c r="B472" s="8"/>
      <c r="I472" s="8"/>
      <c r="J472" s="8"/>
      <c r="K472" s="8"/>
    </row>
    <row r="473" ht="15.75" customHeight="1">
      <c r="B473" s="8"/>
      <c r="I473" s="8"/>
      <c r="J473" s="8"/>
      <c r="K473" s="8"/>
    </row>
    <row r="474" ht="15.75" customHeight="1">
      <c r="B474" s="8"/>
      <c r="I474" s="8"/>
      <c r="J474" s="8"/>
      <c r="K474" s="8"/>
    </row>
    <row r="475" ht="15.75" customHeight="1">
      <c r="B475" s="8"/>
      <c r="I475" s="8"/>
      <c r="J475" s="8"/>
      <c r="K475" s="8"/>
    </row>
    <row r="476" ht="15.75" customHeight="1">
      <c r="B476" s="8"/>
      <c r="I476" s="8"/>
      <c r="J476" s="8"/>
      <c r="K476" s="8"/>
    </row>
    <row r="477" ht="15.75" customHeight="1">
      <c r="B477" s="8"/>
      <c r="I477" s="8"/>
      <c r="J477" s="8"/>
      <c r="K477" s="8"/>
    </row>
    <row r="478" ht="15.75" customHeight="1">
      <c r="B478" s="8"/>
      <c r="I478" s="8"/>
      <c r="J478" s="8"/>
      <c r="K478" s="8"/>
    </row>
    <row r="479" ht="15.75" customHeight="1">
      <c r="B479" s="8"/>
      <c r="I479" s="8"/>
      <c r="J479" s="8"/>
      <c r="K479" s="8"/>
    </row>
    <row r="480" ht="15.75" customHeight="1">
      <c r="B480" s="8"/>
      <c r="I480" s="8"/>
      <c r="J480" s="8"/>
      <c r="K480" s="8"/>
    </row>
    <row r="481" ht="15.75" customHeight="1">
      <c r="B481" s="8"/>
      <c r="I481" s="8"/>
      <c r="J481" s="8"/>
      <c r="K481" s="8"/>
    </row>
    <row r="482" ht="15.75" customHeight="1">
      <c r="B482" s="8"/>
      <c r="I482" s="8"/>
      <c r="J482" s="8"/>
      <c r="K482" s="8"/>
    </row>
    <row r="483" ht="15.75" customHeight="1">
      <c r="B483" s="8"/>
      <c r="I483" s="8"/>
      <c r="J483" s="8"/>
      <c r="K483" s="8"/>
    </row>
    <row r="484" ht="15.75" customHeight="1">
      <c r="B484" s="8"/>
      <c r="I484" s="8"/>
      <c r="J484" s="8"/>
      <c r="K484" s="8"/>
    </row>
    <row r="485" ht="15.75" customHeight="1">
      <c r="B485" s="8"/>
      <c r="I485" s="8"/>
      <c r="J485" s="8"/>
      <c r="K485" s="8"/>
    </row>
    <row r="486" ht="15.75" customHeight="1">
      <c r="B486" s="8"/>
      <c r="I486" s="8"/>
      <c r="J486" s="8"/>
      <c r="K486" s="8"/>
    </row>
    <row r="487" ht="15.75" customHeight="1">
      <c r="B487" s="8"/>
      <c r="I487" s="8"/>
      <c r="J487" s="8"/>
      <c r="K487" s="8"/>
    </row>
    <row r="488" ht="15.75" customHeight="1">
      <c r="B488" s="8"/>
      <c r="I488" s="8"/>
      <c r="J488" s="8"/>
      <c r="K488" s="8"/>
    </row>
    <row r="489" ht="15.75" customHeight="1">
      <c r="B489" s="8"/>
      <c r="I489" s="8"/>
      <c r="J489" s="8"/>
      <c r="K489" s="8"/>
    </row>
    <row r="490" ht="15.75" customHeight="1">
      <c r="B490" s="8"/>
      <c r="I490" s="8"/>
      <c r="J490" s="8"/>
      <c r="K490" s="8"/>
    </row>
    <row r="491" ht="15.75" customHeight="1">
      <c r="B491" s="8"/>
      <c r="I491" s="8"/>
      <c r="J491" s="8"/>
      <c r="K491" s="8"/>
    </row>
    <row r="492" ht="15.75" customHeight="1">
      <c r="B492" s="8"/>
      <c r="I492" s="8"/>
      <c r="J492" s="8"/>
      <c r="K492" s="8"/>
    </row>
    <row r="493" ht="15.75" customHeight="1">
      <c r="B493" s="8"/>
      <c r="I493" s="8"/>
      <c r="J493" s="8"/>
      <c r="K493" s="8"/>
    </row>
    <row r="494" ht="15.75" customHeight="1">
      <c r="B494" s="8"/>
      <c r="I494" s="8"/>
      <c r="J494" s="8"/>
      <c r="K494" s="8"/>
    </row>
    <row r="495" ht="15.75" customHeight="1">
      <c r="B495" s="8"/>
      <c r="I495" s="8"/>
      <c r="J495" s="8"/>
      <c r="K495" s="8"/>
    </row>
    <row r="496" ht="15.75" customHeight="1">
      <c r="B496" s="8"/>
      <c r="I496" s="8"/>
      <c r="J496" s="8"/>
      <c r="K496" s="8"/>
    </row>
    <row r="497" ht="15.75" customHeight="1">
      <c r="B497" s="8"/>
      <c r="I497" s="8"/>
      <c r="J497" s="8"/>
      <c r="K497" s="8"/>
    </row>
    <row r="498" ht="15.75" customHeight="1">
      <c r="B498" s="8"/>
      <c r="I498" s="8"/>
      <c r="J498" s="8"/>
      <c r="K498" s="8"/>
    </row>
    <row r="499" ht="15.75" customHeight="1">
      <c r="B499" s="8"/>
      <c r="I499" s="8"/>
      <c r="J499" s="8"/>
      <c r="K499" s="8"/>
    </row>
    <row r="500" ht="15.75" customHeight="1">
      <c r="B500" s="8"/>
      <c r="I500" s="8"/>
      <c r="J500" s="8"/>
      <c r="K500" s="8"/>
    </row>
    <row r="501" ht="15.75" customHeight="1">
      <c r="B501" s="8"/>
      <c r="I501" s="8"/>
      <c r="J501" s="8"/>
      <c r="K501" s="8"/>
    </row>
    <row r="502" ht="15.75" customHeight="1">
      <c r="B502" s="8"/>
      <c r="I502" s="8"/>
      <c r="J502" s="8"/>
      <c r="K502" s="8"/>
    </row>
    <row r="503" ht="15.75" customHeight="1">
      <c r="B503" s="8"/>
      <c r="I503" s="8"/>
      <c r="J503" s="8"/>
      <c r="K503" s="8"/>
    </row>
    <row r="504" ht="15.75" customHeight="1">
      <c r="B504" s="8"/>
      <c r="I504" s="8"/>
      <c r="J504" s="8"/>
      <c r="K504" s="8"/>
    </row>
    <row r="505" ht="15.75" customHeight="1">
      <c r="B505" s="8"/>
      <c r="I505" s="8"/>
      <c r="J505" s="8"/>
      <c r="K505" s="8"/>
    </row>
    <row r="506" ht="15.75" customHeight="1">
      <c r="B506" s="8"/>
      <c r="I506" s="8"/>
      <c r="J506" s="8"/>
      <c r="K506" s="8"/>
    </row>
    <row r="507" ht="15.75" customHeight="1">
      <c r="B507" s="8"/>
      <c r="I507" s="8"/>
      <c r="J507" s="8"/>
      <c r="K507" s="8"/>
    </row>
    <row r="508" ht="15.75" customHeight="1">
      <c r="B508" s="8"/>
      <c r="I508" s="8"/>
      <c r="J508" s="8"/>
      <c r="K508" s="8"/>
    </row>
    <row r="509" ht="15.75" customHeight="1">
      <c r="B509" s="8"/>
      <c r="I509" s="8"/>
      <c r="J509" s="8"/>
      <c r="K509" s="8"/>
    </row>
    <row r="510" ht="15.75" customHeight="1">
      <c r="B510" s="8"/>
      <c r="I510" s="8"/>
      <c r="J510" s="8"/>
      <c r="K510" s="8"/>
    </row>
    <row r="511" ht="15.75" customHeight="1">
      <c r="B511" s="8"/>
      <c r="I511" s="8"/>
      <c r="J511" s="8"/>
      <c r="K511" s="8"/>
    </row>
    <row r="512" ht="15.75" customHeight="1">
      <c r="B512" s="8"/>
      <c r="I512" s="8"/>
      <c r="J512" s="8"/>
      <c r="K512" s="8"/>
    </row>
    <row r="513" ht="15.75" customHeight="1">
      <c r="B513" s="8"/>
      <c r="I513" s="8"/>
      <c r="J513" s="8"/>
      <c r="K513" s="8"/>
    </row>
    <row r="514" ht="15.75" customHeight="1">
      <c r="B514" s="8"/>
      <c r="I514" s="8"/>
      <c r="J514" s="8"/>
      <c r="K514" s="8"/>
    </row>
    <row r="515" ht="15.75" customHeight="1">
      <c r="B515" s="8"/>
      <c r="I515" s="8"/>
      <c r="J515" s="8"/>
      <c r="K515" s="8"/>
    </row>
    <row r="516" ht="15.75" customHeight="1">
      <c r="B516" s="8"/>
      <c r="I516" s="8"/>
      <c r="J516" s="8"/>
      <c r="K516" s="8"/>
    </row>
    <row r="517" ht="15.75" customHeight="1">
      <c r="B517" s="8"/>
      <c r="I517" s="8"/>
      <c r="J517" s="8"/>
      <c r="K517" s="8"/>
    </row>
    <row r="518" ht="15.75" customHeight="1">
      <c r="B518" s="8"/>
      <c r="I518" s="8"/>
      <c r="J518" s="8"/>
      <c r="K518" s="8"/>
    </row>
    <row r="519" ht="15.75" customHeight="1">
      <c r="B519" s="8"/>
      <c r="I519" s="8"/>
      <c r="J519" s="8"/>
      <c r="K519" s="8"/>
    </row>
    <row r="520" ht="15.75" customHeight="1">
      <c r="B520" s="8"/>
      <c r="I520" s="8"/>
      <c r="J520" s="8"/>
      <c r="K520" s="8"/>
    </row>
    <row r="521" ht="15.75" customHeight="1">
      <c r="B521" s="8"/>
      <c r="I521" s="8"/>
      <c r="J521" s="8"/>
      <c r="K521" s="8"/>
    </row>
    <row r="522" ht="15.75" customHeight="1">
      <c r="B522" s="8"/>
      <c r="I522" s="8"/>
      <c r="J522" s="8"/>
      <c r="K522" s="8"/>
    </row>
    <row r="523" ht="15.75" customHeight="1">
      <c r="B523" s="8"/>
      <c r="I523" s="8"/>
      <c r="J523" s="8"/>
      <c r="K523" s="8"/>
    </row>
    <row r="524" ht="15.75" customHeight="1">
      <c r="B524" s="8"/>
      <c r="I524" s="8"/>
      <c r="J524" s="8"/>
      <c r="K524" s="8"/>
    </row>
    <row r="525" ht="15.75" customHeight="1">
      <c r="B525" s="8"/>
      <c r="I525" s="8"/>
      <c r="J525" s="8"/>
      <c r="K525" s="8"/>
    </row>
    <row r="526" ht="15.75" customHeight="1">
      <c r="B526" s="8"/>
      <c r="I526" s="8"/>
      <c r="J526" s="8"/>
      <c r="K526" s="8"/>
    </row>
    <row r="527" ht="15.75" customHeight="1">
      <c r="B527" s="8"/>
      <c r="I527" s="8"/>
      <c r="J527" s="8"/>
      <c r="K527" s="8"/>
    </row>
    <row r="528" ht="15.75" customHeight="1">
      <c r="B528" s="8"/>
      <c r="I528" s="8"/>
      <c r="J528" s="8"/>
      <c r="K528" s="8"/>
    </row>
    <row r="529" ht="15.75" customHeight="1">
      <c r="B529" s="8"/>
      <c r="I529" s="8"/>
      <c r="J529" s="8"/>
      <c r="K529" s="8"/>
    </row>
    <row r="530" ht="15.75" customHeight="1">
      <c r="B530" s="8"/>
      <c r="I530" s="8"/>
      <c r="J530" s="8"/>
      <c r="K530" s="8"/>
    </row>
    <row r="531" ht="15.75" customHeight="1">
      <c r="B531" s="8"/>
      <c r="I531" s="8"/>
      <c r="J531" s="8"/>
      <c r="K531" s="8"/>
    </row>
    <row r="532" ht="15.75" customHeight="1">
      <c r="B532" s="8"/>
      <c r="I532" s="8"/>
      <c r="J532" s="8"/>
      <c r="K532" s="8"/>
    </row>
    <row r="533" ht="15.75" customHeight="1">
      <c r="B533" s="8"/>
      <c r="I533" s="8"/>
      <c r="J533" s="8"/>
      <c r="K533" s="8"/>
    </row>
    <row r="534" ht="15.75" customHeight="1">
      <c r="B534" s="8"/>
      <c r="I534" s="8"/>
      <c r="J534" s="8"/>
      <c r="K534" s="8"/>
    </row>
    <row r="535" ht="15.75" customHeight="1">
      <c r="B535" s="8"/>
      <c r="I535" s="8"/>
      <c r="J535" s="8"/>
      <c r="K535" s="8"/>
    </row>
    <row r="536" ht="15.75" customHeight="1">
      <c r="B536" s="8"/>
      <c r="I536" s="8"/>
      <c r="J536" s="8"/>
      <c r="K536" s="8"/>
    </row>
    <row r="537" ht="15.75" customHeight="1">
      <c r="B537" s="8"/>
      <c r="I537" s="8"/>
      <c r="J537" s="8"/>
      <c r="K537" s="8"/>
    </row>
    <row r="538" ht="15.75" customHeight="1">
      <c r="B538" s="8"/>
      <c r="I538" s="8"/>
      <c r="J538" s="8"/>
      <c r="K538" s="8"/>
    </row>
    <row r="539" ht="15.75" customHeight="1">
      <c r="B539" s="8"/>
      <c r="I539" s="8"/>
      <c r="J539" s="8"/>
      <c r="K539" s="8"/>
    </row>
    <row r="540" ht="15.75" customHeight="1">
      <c r="B540" s="8"/>
      <c r="I540" s="8"/>
      <c r="J540" s="8"/>
      <c r="K540" s="8"/>
    </row>
    <row r="541" ht="15.75" customHeight="1">
      <c r="B541" s="8"/>
      <c r="I541" s="8"/>
      <c r="J541" s="8"/>
      <c r="K541" s="8"/>
    </row>
    <row r="542" ht="15.75" customHeight="1">
      <c r="B542" s="8"/>
      <c r="I542" s="8"/>
      <c r="J542" s="8"/>
      <c r="K542" s="8"/>
    </row>
    <row r="543" ht="15.75" customHeight="1">
      <c r="B543" s="8"/>
      <c r="I543" s="8"/>
      <c r="J543" s="8"/>
      <c r="K543" s="8"/>
    </row>
    <row r="544" ht="15.75" customHeight="1">
      <c r="B544" s="8"/>
      <c r="I544" s="8"/>
      <c r="J544" s="8"/>
      <c r="K544" s="8"/>
    </row>
    <row r="545" ht="15.75" customHeight="1">
      <c r="B545" s="8"/>
      <c r="I545" s="8"/>
      <c r="J545" s="8"/>
      <c r="K545" s="8"/>
    </row>
    <row r="546" ht="15.75" customHeight="1">
      <c r="B546" s="8"/>
      <c r="I546" s="8"/>
      <c r="J546" s="8"/>
      <c r="K546" s="8"/>
    </row>
    <row r="547" ht="15.75" customHeight="1">
      <c r="B547" s="8"/>
      <c r="I547" s="8"/>
      <c r="J547" s="8"/>
      <c r="K547" s="8"/>
    </row>
    <row r="548" ht="15.75" customHeight="1">
      <c r="B548" s="8"/>
      <c r="I548" s="8"/>
      <c r="J548" s="8"/>
      <c r="K548" s="8"/>
    </row>
    <row r="549" ht="15.75" customHeight="1">
      <c r="B549" s="8"/>
      <c r="I549" s="8"/>
      <c r="J549" s="8"/>
      <c r="K549" s="8"/>
    </row>
    <row r="550" ht="15.75" customHeight="1">
      <c r="B550" s="8"/>
      <c r="I550" s="8"/>
      <c r="J550" s="8"/>
      <c r="K550" s="8"/>
    </row>
    <row r="551" ht="15.75" customHeight="1">
      <c r="B551" s="8"/>
      <c r="I551" s="8"/>
      <c r="J551" s="8"/>
      <c r="K551" s="8"/>
    </row>
    <row r="552" ht="15.75" customHeight="1">
      <c r="B552" s="8"/>
      <c r="I552" s="8"/>
      <c r="J552" s="8"/>
      <c r="K552" s="8"/>
    </row>
    <row r="553" ht="15.75" customHeight="1">
      <c r="B553" s="8"/>
      <c r="I553" s="8"/>
      <c r="J553" s="8"/>
      <c r="K553" s="8"/>
    </row>
    <row r="554" ht="15.75" customHeight="1">
      <c r="B554" s="8"/>
      <c r="I554" s="8"/>
      <c r="J554" s="8"/>
      <c r="K554" s="8"/>
    </row>
    <row r="555" ht="15.75" customHeight="1">
      <c r="B555" s="8"/>
      <c r="I555" s="8"/>
      <c r="J555" s="8"/>
      <c r="K555" s="8"/>
    </row>
    <row r="556" ht="15.75" customHeight="1">
      <c r="B556" s="8"/>
      <c r="I556" s="8"/>
      <c r="J556" s="8"/>
      <c r="K556" s="8"/>
    </row>
    <row r="557" ht="15.75" customHeight="1">
      <c r="B557" s="8"/>
      <c r="I557" s="8"/>
      <c r="J557" s="8"/>
      <c r="K557" s="8"/>
    </row>
    <row r="558" ht="15.75" customHeight="1">
      <c r="B558" s="8"/>
      <c r="I558" s="8"/>
      <c r="J558" s="8"/>
      <c r="K558" s="8"/>
    </row>
    <row r="559" ht="15.75" customHeight="1">
      <c r="B559" s="8"/>
      <c r="I559" s="8"/>
      <c r="J559" s="8"/>
      <c r="K559" s="8"/>
    </row>
    <row r="560" ht="15.75" customHeight="1">
      <c r="B560" s="8"/>
      <c r="I560" s="8"/>
      <c r="J560" s="8"/>
      <c r="K560" s="8"/>
    </row>
    <row r="561" ht="15.75" customHeight="1">
      <c r="B561" s="8"/>
      <c r="I561" s="8"/>
      <c r="J561" s="8"/>
      <c r="K561" s="8"/>
    </row>
    <row r="562" ht="15.75" customHeight="1">
      <c r="B562" s="8"/>
      <c r="I562" s="8"/>
      <c r="J562" s="8"/>
      <c r="K562" s="8"/>
    </row>
    <row r="563" ht="15.75" customHeight="1">
      <c r="B563" s="8"/>
      <c r="I563" s="8"/>
      <c r="J563" s="8"/>
      <c r="K563" s="8"/>
    </row>
    <row r="564" ht="15.75" customHeight="1">
      <c r="B564" s="8"/>
      <c r="I564" s="8"/>
      <c r="J564" s="8"/>
      <c r="K564" s="8"/>
    </row>
    <row r="565" ht="15.75" customHeight="1">
      <c r="B565" s="8"/>
      <c r="I565" s="8"/>
      <c r="J565" s="8"/>
      <c r="K565" s="8"/>
    </row>
    <row r="566" ht="15.75" customHeight="1">
      <c r="B566" s="8"/>
      <c r="I566" s="8"/>
      <c r="J566" s="8"/>
      <c r="K566" s="8"/>
    </row>
    <row r="567" ht="15.75" customHeight="1">
      <c r="B567" s="8"/>
      <c r="I567" s="8"/>
      <c r="J567" s="8"/>
      <c r="K567" s="8"/>
    </row>
    <row r="568" ht="15.75" customHeight="1">
      <c r="B568" s="8"/>
      <c r="I568" s="8"/>
      <c r="J568" s="8"/>
      <c r="K568" s="8"/>
    </row>
    <row r="569" ht="15.75" customHeight="1">
      <c r="B569" s="8"/>
      <c r="I569" s="8"/>
      <c r="J569" s="8"/>
      <c r="K569" s="8"/>
    </row>
    <row r="570" ht="15.75" customHeight="1">
      <c r="B570" s="8"/>
      <c r="I570" s="8"/>
      <c r="J570" s="8"/>
      <c r="K570" s="8"/>
    </row>
    <row r="571" ht="15.75" customHeight="1">
      <c r="B571" s="8"/>
      <c r="I571" s="8"/>
      <c r="J571" s="8"/>
      <c r="K571" s="8"/>
    </row>
    <row r="572" ht="15.75" customHeight="1">
      <c r="B572" s="8"/>
      <c r="I572" s="8"/>
      <c r="J572" s="8"/>
      <c r="K572" s="8"/>
    </row>
    <row r="573" ht="15.75" customHeight="1">
      <c r="B573" s="8"/>
      <c r="I573" s="8"/>
      <c r="J573" s="8"/>
      <c r="K573" s="8"/>
    </row>
    <row r="574" ht="15.75" customHeight="1">
      <c r="B574" s="8"/>
      <c r="I574" s="8"/>
      <c r="J574" s="8"/>
      <c r="K574" s="8"/>
    </row>
    <row r="575" ht="15.75" customHeight="1">
      <c r="B575" s="8"/>
      <c r="I575" s="8"/>
      <c r="J575" s="8"/>
      <c r="K575" s="8"/>
    </row>
    <row r="576" ht="15.75" customHeight="1">
      <c r="B576" s="8"/>
      <c r="I576" s="8"/>
      <c r="J576" s="8"/>
      <c r="K576" s="8"/>
    </row>
    <row r="577" ht="15.75" customHeight="1">
      <c r="B577" s="8"/>
      <c r="I577" s="8"/>
      <c r="J577" s="8"/>
      <c r="K577" s="8"/>
    </row>
    <row r="578" ht="15.75" customHeight="1">
      <c r="B578" s="8"/>
      <c r="I578" s="8"/>
      <c r="J578" s="8"/>
      <c r="K578" s="8"/>
    </row>
    <row r="579" ht="15.75" customHeight="1">
      <c r="B579" s="8"/>
      <c r="I579" s="8"/>
      <c r="J579" s="8"/>
      <c r="K579" s="8"/>
    </row>
    <row r="580" ht="15.75" customHeight="1">
      <c r="B580" s="8"/>
      <c r="I580" s="8"/>
      <c r="J580" s="8"/>
      <c r="K580" s="8"/>
    </row>
    <row r="581" ht="15.75" customHeight="1">
      <c r="B581" s="8"/>
      <c r="I581" s="8"/>
      <c r="J581" s="8"/>
      <c r="K581" s="8"/>
    </row>
    <row r="582" ht="15.75" customHeight="1">
      <c r="B582" s="8"/>
      <c r="I582" s="8"/>
      <c r="J582" s="8"/>
      <c r="K582" s="8"/>
    </row>
    <row r="583" ht="15.75" customHeight="1">
      <c r="B583" s="8"/>
      <c r="I583" s="8"/>
      <c r="J583" s="8"/>
      <c r="K583" s="8"/>
    </row>
    <row r="584" ht="15.75" customHeight="1">
      <c r="B584" s="8"/>
      <c r="I584" s="8"/>
      <c r="J584" s="8"/>
      <c r="K584" s="8"/>
    </row>
    <row r="585" ht="15.75" customHeight="1">
      <c r="B585" s="8"/>
      <c r="I585" s="8"/>
      <c r="J585" s="8"/>
      <c r="K585" s="8"/>
    </row>
    <row r="586" ht="15.75" customHeight="1">
      <c r="B586" s="8"/>
      <c r="I586" s="8"/>
      <c r="J586" s="8"/>
      <c r="K586" s="8"/>
    </row>
    <row r="587" ht="15.75" customHeight="1">
      <c r="B587" s="8"/>
      <c r="I587" s="8"/>
      <c r="J587" s="8"/>
      <c r="K587" s="8"/>
    </row>
    <row r="588" ht="15.75" customHeight="1">
      <c r="B588" s="8"/>
      <c r="I588" s="8"/>
      <c r="J588" s="8"/>
      <c r="K588" s="8"/>
    </row>
    <row r="589" ht="15.75" customHeight="1">
      <c r="B589" s="8"/>
      <c r="I589" s="8"/>
      <c r="J589" s="8"/>
      <c r="K589" s="8"/>
    </row>
    <row r="590" ht="15.75" customHeight="1">
      <c r="B590" s="8"/>
      <c r="I590" s="8"/>
      <c r="J590" s="8"/>
      <c r="K590" s="8"/>
    </row>
    <row r="591" ht="15.75" customHeight="1">
      <c r="B591" s="8"/>
      <c r="I591" s="8"/>
      <c r="J591" s="8"/>
      <c r="K591" s="8"/>
    </row>
    <row r="592" ht="15.75" customHeight="1">
      <c r="B592" s="8"/>
      <c r="I592" s="8"/>
      <c r="J592" s="8"/>
      <c r="K592" s="8"/>
    </row>
    <row r="593" ht="15.75" customHeight="1">
      <c r="B593" s="8"/>
      <c r="I593" s="8"/>
      <c r="J593" s="8"/>
      <c r="K593" s="8"/>
    </row>
    <row r="594" ht="15.75" customHeight="1">
      <c r="B594" s="8"/>
      <c r="I594" s="8"/>
      <c r="J594" s="8"/>
      <c r="K594" s="8"/>
    </row>
    <row r="595" ht="15.75" customHeight="1">
      <c r="B595" s="8"/>
      <c r="I595" s="8"/>
      <c r="J595" s="8"/>
      <c r="K595" s="8"/>
    </row>
    <row r="596" ht="15.75" customHeight="1">
      <c r="B596" s="8"/>
      <c r="I596" s="8"/>
      <c r="J596" s="8"/>
      <c r="K596" s="8"/>
    </row>
    <row r="597" ht="15.75" customHeight="1">
      <c r="B597" s="8"/>
      <c r="I597" s="8"/>
      <c r="J597" s="8"/>
      <c r="K597" s="8"/>
    </row>
    <row r="598" ht="15.75" customHeight="1">
      <c r="B598" s="8"/>
      <c r="I598" s="8"/>
      <c r="J598" s="8"/>
      <c r="K598" s="8"/>
    </row>
    <row r="599" ht="15.75" customHeight="1">
      <c r="B599" s="8"/>
      <c r="I599" s="8"/>
      <c r="J599" s="8"/>
      <c r="K599" s="8"/>
    </row>
    <row r="600" ht="15.75" customHeight="1">
      <c r="B600" s="8"/>
      <c r="I600" s="8"/>
      <c r="J600" s="8"/>
      <c r="K600" s="8"/>
    </row>
    <row r="601" ht="15.75" customHeight="1">
      <c r="B601" s="8"/>
      <c r="I601" s="8"/>
      <c r="J601" s="8"/>
      <c r="K601" s="8"/>
    </row>
    <row r="602" ht="15.75" customHeight="1">
      <c r="B602" s="8"/>
      <c r="I602" s="8"/>
      <c r="J602" s="8"/>
      <c r="K602" s="8"/>
    </row>
    <row r="603" ht="15.75" customHeight="1">
      <c r="B603" s="8"/>
      <c r="I603" s="8"/>
      <c r="J603" s="8"/>
      <c r="K603" s="8"/>
    </row>
    <row r="604" ht="15.75" customHeight="1">
      <c r="B604" s="8"/>
      <c r="I604" s="8"/>
      <c r="J604" s="8"/>
      <c r="K604" s="8"/>
    </row>
    <row r="605" ht="15.75" customHeight="1">
      <c r="B605" s="8"/>
      <c r="I605" s="8"/>
      <c r="J605" s="8"/>
      <c r="K605" s="8"/>
    </row>
    <row r="606" ht="15.75" customHeight="1">
      <c r="B606" s="8"/>
      <c r="I606" s="8"/>
      <c r="J606" s="8"/>
      <c r="K606" s="8"/>
    </row>
    <row r="607" ht="15.75" customHeight="1">
      <c r="B607" s="8"/>
      <c r="I607" s="8"/>
      <c r="J607" s="8"/>
      <c r="K607" s="8"/>
    </row>
    <row r="608" ht="15.75" customHeight="1">
      <c r="B608" s="8"/>
      <c r="I608" s="8"/>
      <c r="J608" s="8"/>
      <c r="K608" s="8"/>
    </row>
    <row r="609" ht="15.75" customHeight="1">
      <c r="B609" s="8"/>
      <c r="I609" s="8"/>
      <c r="J609" s="8"/>
      <c r="K609" s="8"/>
    </row>
    <row r="610" ht="15.75" customHeight="1">
      <c r="B610" s="8"/>
      <c r="I610" s="8"/>
      <c r="J610" s="8"/>
      <c r="K610" s="8"/>
    </row>
    <row r="611" ht="15.75" customHeight="1">
      <c r="B611" s="8"/>
      <c r="I611" s="8"/>
      <c r="J611" s="8"/>
      <c r="K611" s="8"/>
    </row>
    <row r="612" ht="15.75" customHeight="1">
      <c r="B612" s="8"/>
      <c r="I612" s="8"/>
      <c r="J612" s="8"/>
      <c r="K612" s="8"/>
    </row>
    <row r="613" ht="15.75" customHeight="1">
      <c r="B613" s="8"/>
      <c r="I613" s="8"/>
      <c r="J613" s="8"/>
      <c r="K613" s="8"/>
    </row>
    <row r="614" ht="15.75" customHeight="1">
      <c r="B614" s="8"/>
      <c r="I614" s="8"/>
      <c r="J614" s="8"/>
      <c r="K614" s="8"/>
    </row>
    <row r="615" ht="15.75" customHeight="1">
      <c r="B615" s="8"/>
      <c r="I615" s="8"/>
      <c r="J615" s="8"/>
      <c r="K615" s="8"/>
    </row>
    <row r="616" ht="15.75" customHeight="1">
      <c r="B616" s="8"/>
      <c r="I616" s="8"/>
      <c r="J616" s="8"/>
      <c r="K616" s="8"/>
    </row>
    <row r="617" ht="15.75" customHeight="1">
      <c r="B617" s="8"/>
      <c r="I617" s="8"/>
      <c r="J617" s="8"/>
      <c r="K617" s="8"/>
    </row>
    <row r="618" ht="15.75" customHeight="1">
      <c r="B618" s="8"/>
      <c r="I618" s="8"/>
      <c r="J618" s="8"/>
      <c r="K618" s="8"/>
    </row>
    <row r="619" ht="15.75" customHeight="1">
      <c r="B619" s="8"/>
      <c r="I619" s="8"/>
      <c r="J619" s="8"/>
      <c r="K619" s="8"/>
    </row>
    <row r="620" ht="15.75" customHeight="1">
      <c r="B620" s="8"/>
      <c r="I620" s="8"/>
      <c r="J620" s="8"/>
      <c r="K620" s="8"/>
    </row>
    <row r="621" ht="15.75" customHeight="1">
      <c r="B621" s="8"/>
      <c r="I621" s="8"/>
      <c r="J621" s="8"/>
      <c r="K621" s="8"/>
    </row>
    <row r="622" ht="15.75" customHeight="1">
      <c r="B622" s="8"/>
      <c r="I622" s="8"/>
      <c r="J622" s="8"/>
      <c r="K622" s="8"/>
    </row>
    <row r="623" ht="15.75" customHeight="1">
      <c r="B623" s="8"/>
      <c r="I623" s="8"/>
      <c r="J623" s="8"/>
      <c r="K623" s="8"/>
    </row>
    <row r="624" ht="15.75" customHeight="1">
      <c r="B624" s="8"/>
      <c r="I624" s="8"/>
      <c r="J624" s="8"/>
      <c r="K624" s="8"/>
    </row>
    <row r="625" ht="15.75" customHeight="1">
      <c r="B625" s="8"/>
      <c r="I625" s="8"/>
      <c r="J625" s="8"/>
      <c r="K625" s="8"/>
    </row>
    <row r="626" ht="15.75" customHeight="1">
      <c r="B626" s="8"/>
      <c r="I626" s="8"/>
      <c r="J626" s="8"/>
      <c r="K626" s="8"/>
    </row>
    <row r="627" ht="15.75" customHeight="1">
      <c r="B627" s="8"/>
      <c r="I627" s="8"/>
      <c r="J627" s="8"/>
      <c r="K627" s="8"/>
    </row>
    <row r="628" ht="15.75" customHeight="1">
      <c r="B628" s="8"/>
      <c r="I628" s="8"/>
      <c r="J628" s="8"/>
      <c r="K628" s="8"/>
    </row>
    <row r="629" ht="15.75" customHeight="1">
      <c r="B629" s="8"/>
      <c r="I629" s="8"/>
      <c r="J629" s="8"/>
      <c r="K629" s="8"/>
    </row>
    <row r="630" ht="15.75" customHeight="1">
      <c r="B630" s="8"/>
      <c r="I630" s="8"/>
      <c r="J630" s="8"/>
      <c r="K630" s="8"/>
    </row>
    <row r="631" ht="15.75" customHeight="1">
      <c r="B631" s="8"/>
      <c r="I631" s="8"/>
      <c r="J631" s="8"/>
      <c r="K631" s="8"/>
    </row>
    <row r="632" ht="15.75" customHeight="1">
      <c r="B632" s="8"/>
      <c r="I632" s="8"/>
      <c r="J632" s="8"/>
      <c r="K632" s="8"/>
    </row>
    <row r="633" ht="15.75" customHeight="1">
      <c r="B633" s="8"/>
      <c r="I633" s="8"/>
      <c r="J633" s="8"/>
      <c r="K633" s="8"/>
    </row>
    <row r="634" ht="15.75" customHeight="1">
      <c r="B634" s="8"/>
      <c r="I634" s="8"/>
      <c r="J634" s="8"/>
      <c r="K634" s="8"/>
    </row>
    <row r="635" ht="15.75" customHeight="1">
      <c r="B635" s="8"/>
      <c r="I635" s="8"/>
      <c r="J635" s="8"/>
      <c r="K635" s="8"/>
    </row>
    <row r="636" ht="15.75" customHeight="1">
      <c r="B636" s="8"/>
      <c r="I636" s="8"/>
      <c r="J636" s="8"/>
      <c r="K636" s="8"/>
    </row>
    <row r="637" ht="15.75" customHeight="1">
      <c r="B637" s="8"/>
      <c r="I637" s="8"/>
      <c r="J637" s="8"/>
      <c r="K637" s="8"/>
    </row>
    <row r="638" ht="15.75" customHeight="1">
      <c r="B638" s="8"/>
      <c r="I638" s="8"/>
      <c r="J638" s="8"/>
      <c r="K638" s="8"/>
    </row>
    <row r="639" ht="15.75" customHeight="1">
      <c r="B639" s="8"/>
      <c r="I639" s="8"/>
      <c r="J639" s="8"/>
      <c r="K639" s="8"/>
    </row>
    <row r="640" ht="15.75" customHeight="1">
      <c r="B640" s="8"/>
      <c r="I640" s="8"/>
      <c r="J640" s="8"/>
      <c r="K640" s="8"/>
    </row>
    <row r="641" ht="15.75" customHeight="1">
      <c r="B641" s="8"/>
      <c r="I641" s="8"/>
      <c r="J641" s="8"/>
      <c r="K641" s="8"/>
    </row>
    <row r="642" ht="15.75" customHeight="1">
      <c r="B642" s="8"/>
      <c r="I642" s="8"/>
      <c r="J642" s="8"/>
      <c r="K642" s="8"/>
    </row>
    <row r="643" ht="15.75" customHeight="1">
      <c r="B643" s="8"/>
      <c r="I643" s="8"/>
      <c r="J643" s="8"/>
      <c r="K643" s="8"/>
    </row>
    <row r="644" ht="15.75" customHeight="1">
      <c r="B644" s="8"/>
      <c r="I644" s="8"/>
      <c r="J644" s="8"/>
      <c r="K644" s="8"/>
    </row>
    <row r="645" ht="15.75" customHeight="1">
      <c r="B645" s="8"/>
      <c r="I645" s="8"/>
      <c r="J645" s="8"/>
      <c r="K645" s="8"/>
    </row>
    <row r="646" ht="15.75" customHeight="1">
      <c r="B646" s="8"/>
      <c r="I646" s="8"/>
      <c r="J646" s="8"/>
      <c r="K646" s="8"/>
    </row>
    <row r="647" ht="15.75" customHeight="1">
      <c r="B647" s="8"/>
      <c r="I647" s="8"/>
      <c r="J647" s="8"/>
      <c r="K647" s="8"/>
    </row>
    <row r="648" ht="15.75" customHeight="1">
      <c r="B648" s="8"/>
      <c r="I648" s="8"/>
      <c r="J648" s="8"/>
      <c r="K648" s="8"/>
    </row>
    <row r="649" ht="15.75" customHeight="1">
      <c r="B649" s="8"/>
      <c r="I649" s="8"/>
      <c r="J649" s="8"/>
      <c r="K649" s="8"/>
    </row>
    <row r="650" ht="15.75" customHeight="1">
      <c r="B650" s="8"/>
      <c r="I650" s="8"/>
      <c r="J650" s="8"/>
      <c r="K650" s="8"/>
    </row>
    <row r="651" ht="15.75" customHeight="1">
      <c r="B651" s="8"/>
      <c r="I651" s="8"/>
      <c r="J651" s="8"/>
      <c r="K651" s="8"/>
    </row>
    <row r="652" ht="15.75" customHeight="1">
      <c r="B652" s="8"/>
      <c r="I652" s="8"/>
      <c r="J652" s="8"/>
      <c r="K652" s="8"/>
    </row>
    <row r="653" ht="15.75" customHeight="1">
      <c r="B653" s="8"/>
      <c r="I653" s="8"/>
      <c r="J653" s="8"/>
      <c r="K653" s="8"/>
    </row>
    <row r="654" ht="15.75" customHeight="1">
      <c r="B654" s="8"/>
      <c r="I654" s="8"/>
      <c r="J654" s="8"/>
      <c r="K654" s="8"/>
    </row>
    <row r="655" ht="15.75" customHeight="1">
      <c r="B655" s="8"/>
      <c r="I655" s="8"/>
      <c r="J655" s="8"/>
      <c r="K655" s="8"/>
    </row>
    <row r="656" ht="15.75" customHeight="1">
      <c r="B656" s="8"/>
      <c r="I656" s="8"/>
      <c r="J656" s="8"/>
      <c r="K656" s="8"/>
    </row>
    <row r="657" ht="15.75" customHeight="1">
      <c r="B657" s="8"/>
      <c r="I657" s="8"/>
      <c r="J657" s="8"/>
      <c r="K657" s="8"/>
    </row>
    <row r="658" ht="15.75" customHeight="1">
      <c r="B658" s="8"/>
      <c r="I658" s="8"/>
      <c r="J658" s="8"/>
      <c r="K658" s="8"/>
    </row>
    <row r="659" ht="15.75" customHeight="1">
      <c r="B659" s="8"/>
      <c r="I659" s="8"/>
      <c r="J659" s="8"/>
      <c r="K659" s="8"/>
    </row>
    <row r="660" ht="15.75" customHeight="1">
      <c r="B660" s="8"/>
      <c r="I660" s="8"/>
      <c r="J660" s="8"/>
      <c r="K660" s="8"/>
    </row>
    <row r="661" ht="15.75" customHeight="1">
      <c r="B661" s="8"/>
      <c r="I661" s="8"/>
      <c r="J661" s="8"/>
      <c r="K661" s="8"/>
    </row>
    <row r="662" ht="15.75" customHeight="1">
      <c r="B662" s="8"/>
      <c r="I662" s="8"/>
      <c r="J662" s="8"/>
      <c r="K662" s="8"/>
    </row>
    <row r="663" ht="15.75" customHeight="1">
      <c r="B663" s="8"/>
      <c r="I663" s="8"/>
      <c r="J663" s="8"/>
      <c r="K663" s="8"/>
    </row>
    <row r="664" ht="15.75" customHeight="1">
      <c r="B664" s="8"/>
      <c r="I664" s="8"/>
      <c r="J664" s="8"/>
      <c r="K664" s="8"/>
    </row>
    <row r="665" ht="15.75" customHeight="1">
      <c r="B665" s="8"/>
      <c r="I665" s="8"/>
      <c r="J665" s="8"/>
      <c r="K665" s="8"/>
    </row>
    <row r="666" ht="15.75" customHeight="1">
      <c r="B666" s="8"/>
      <c r="I666" s="8"/>
      <c r="J666" s="8"/>
      <c r="K666" s="8"/>
    </row>
    <row r="667" ht="15.75" customHeight="1">
      <c r="B667" s="8"/>
      <c r="I667" s="8"/>
      <c r="J667" s="8"/>
      <c r="K667" s="8"/>
    </row>
    <row r="668" ht="15.75" customHeight="1">
      <c r="B668" s="8"/>
      <c r="I668" s="8"/>
      <c r="J668" s="8"/>
      <c r="K668" s="8"/>
    </row>
    <row r="669" ht="15.75" customHeight="1">
      <c r="B669" s="8"/>
      <c r="I669" s="8"/>
      <c r="J669" s="8"/>
      <c r="K669" s="8"/>
    </row>
    <row r="670" ht="15.75" customHeight="1">
      <c r="B670" s="8"/>
      <c r="I670" s="8"/>
      <c r="J670" s="8"/>
      <c r="K670" s="8"/>
    </row>
    <row r="671" ht="15.75" customHeight="1">
      <c r="B671" s="8"/>
      <c r="I671" s="8"/>
      <c r="J671" s="8"/>
      <c r="K671" s="8"/>
    </row>
    <row r="672" ht="15.75" customHeight="1">
      <c r="B672" s="8"/>
      <c r="I672" s="8"/>
      <c r="J672" s="8"/>
      <c r="K672" s="8"/>
    </row>
    <row r="673" ht="15.75" customHeight="1">
      <c r="B673" s="8"/>
      <c r="I673" s="8"/>
      <c r="J673" s="8"/>
      <c r="K673" s="8"/>
    </row>
    <row r="674" ht="15.75" customHeight="1">
      <c r="B674" s="8"/>
      <c r="I674" s="8"/>
      <c r="J674" s="8"/>
      <c r="K674" s="8"/>
    </row>
    <row r="675" ht="15.75" customHeight="1">
      <c r="B675" s="8"/>
      <c r="I675" s="8"/>
      <c r="J675" s="8"/>
      <c r="K675" s="8"/>
    </row>
    <row r="676" ht="15.75" customHeight="1">
      <c r="B676" s="8"/>
      <c r="I676" s="8"/>
      <c r="J676" s="8"/>
      <c r="K676" s="8"/>
    </row>
    <row r="677" ht="15.75" customHeight="1">
      <c r="B677" s="8"/>
      <c r="I677" s="8"/>
      <c r="J677" s="8"/>
      <c r="K677" s="8"/>
    </row>
    <row r="678" ht="15.75" customHeight="1">
      <c r="B678" s="8"/>
      <c r="I678" s="8"/>
      <c r="J678" s="8"/>
      <c r="K678" s="8"/>
    </row>
    <row r="679" ht="15.75" customHeight="1">
      <c r="B679" s="8"/>
      <c r="I679" s="8"/>
      <c r="J679" s="8"/>
      <c r="K679" s="8"/>
    </row>
    <row r="680" ht="15.75" customHeight="1">
      <c r="B680" s="8"/>
      <c r="I680" s="8"/>
      <c r="J680" s="8"/>
      <c r="K680" s="8"/>
    </row>
    <row r="681" ht="15.75" customHeight="1">
      <c r="B681" s="8"/>
      <c r="I681" s="8"/>
      <c r="J681" s="8"/>
      <c r="K681" s="8"/>
    </row>
    <row r="682" ht="15.75" customHeight="1">
      <c r="B682" s="8"/>
      <c r="I682" s="8"/>
      <c r="J682" s="8"/>
      <c r="K682" s="8"/>
    </row>
    <row r="683" ht="15.75" customHeight="1">
      <c r="B683" s="8"/>
      <c r="I683" s="8"/>
      <c r="J683" s="8"/>
      <c r="K683" s="8"/>
    </row>
    <row r="684" ht="15.75" customHeight="1">
      <c r="B684" s="8"/>
      <c r="I684" s="8"/>
      <c r="J684" s="8"/>
      <c r="K684" s="8"/>
    </row>
    <row r="685" ht="15.75" customHeight="1">
      <c r="B685" s="8"/>
      <c r="I685" s="8"/>
      <c r="J685" s="8"/>
      <c r="K685" s="8"/>
    </row>
    <row r="686" ht="15.75" customHeight="1">
      <c r="B686" s="8"/>
      <c r="I686" s="8"/>
      <c r="J686" s="8"/>
      <c r="K686" s="8"/>
    </row>
    <row r="687" ht="15.75" customHeight="1">
      <c r="B687" s="8"/>
      <c r="I687" s="8"/>
      <c r="J687" s="8"/>
      <c r="K687" s="8"/>
    </row>
    <row r="688" ht="15.75" customHeight="1">
      <c r="B688" s="8"/>
      <c r="I688" s="8"/>
      <c r="J688" s="8"/>
      <c r="K688" s="8"/>
    </row>
    <row r="689" ht="15.75" customHeight="1">
      <c r="B689" s="8"/>
      <c r="I689" s="8"/>
      <c r="J689" s="8"/>
      <c r="K689" s="8"/>
    </row>
    <row r="690" ht="15.75" customHeight="1">
      <c r="B690" s="8"/>
      <c r="I690" s="8"/>
      <c r="J690" s="8"/>
      <c r="K690" s="8"/>
    </row>
    <row r="691" ht="15.75" customHeight="1">
      <c r="B691" s="8"/>
      <c r="I691" s="8"/>
      <c r="J691" s="8"/>
      <c r="K691" s="8"/>
    </row>
    <row r="692" ht="15.75" customHeight="1">
      <c r="B692" s="8"/>
      <c r="I692" s="8"/>
      <c r="J692" s="8"/>
      <c r="K692" s="8"/>
    </row>
    <row r="693" ht="15.75" customHeight="1">
      <c r="B693" s="8"/>
      <c r="I693" s="8"/>
      <c r="J693" s="8"/>
      <c r="K693" s="8"/>
    </row>
    <row r="694" ht="15.75" customHeight="1">
      <c r="B694" s="8"/>
      <c r="I694" s="8"/>
      <c r="J694" s="8"/>
      <c r="K694" s="8"/>
    </row>
    <row r="695" ht="15.75" customHeight="1">
      <c r="B695" s="8"/>
      <c r="I695" s="8"/>
      <c r="J695" s="8"/>
      <c r="K695" s="8"/>
    </row>
    <row r="696" ht="15.75" customHeight="1">
      <c r="B696" s="8"/>
      <c r="I696" s="8"/>
      <c r="J696" s="8"/>
      <c r="K696" s="8"/>
    </row>
    <row r="697" ht="15.75" customHeight="1">
      <c r="B697" s="8"/>
      <c r="I697" s="8"/>
      <c r="J697" s="8"/>
      <c r="K697" s="8"/>
    </row>
    <row r="698" ht="15.75" customHeight="1">
      <c r="B698" s="8"/>
      <c r="I698" s="8"/>
      <c r="J698" s="8"/>
      <c r="K698" s="8"/>
    </row>
    <row r="699" ht="15.75" customHeight="1">
      <c r="B699" s="8"/>
      <c r="I699" s="8"/>
      <c r="J699" s="8"/>
      <c r="K699" s="8"/>
    </row>
    <row r="700" ht="15.75" customHeight="1">
      <c r="B700" s="8"/>
      <c r="I700" s="8"/>
      <c r="J700" s="8"/>
      <c r="K700" s="8"/>
    </row>
    <row r="701" ht="15.75" customHeight="1">
      <c r="B701" s="8"/>
      <c r="I701" s="8"/>
      <c r="J701" s="8"/>
      <c r="K701" s="8"/>
    </row>
    <row r="702" ht="15.75" customHeight="1">
      <c r="B702" s="8"/>
      <c r="I702" s="8"/>
      <c r="J702" s="8"/>
      <c r="K702" s="8"/>
    </row>
    <row r="703" ht="15.75" customHeight="1">
      <c r="B703" s="8"/>
      <c r="I703" s="8"/>
      <c r="J703" s="8"/>
      <c r="K703" s="8"/>
    </row>
    <row r="704" ht="15.75" customHeight="1">
      <c r="B704" s="8"/>
      <c r="I704" s="8"/>
      <c r="J704" s="8"/>
      <c r="K704" s="8"/>
    </row>
    <row r="705" ht="15.75" customHeight="1">
      <c r="B705" s="8"/>
      <c r="I705" s="8"/>
      <c r="J705" s="8"/>
      <c r="K705" s="8"/>
    </row>
    <row r="706" ht="15.75" customHeight="1">
      <c r="B706" s="8"/>
      <c r="I706" s="8"/>
      <c r="J706" s="8"/>
      <c r="K706" s="8"/>
    </row>
    <row r="707" ht="15.75" customHeight="1">
      <c r="B707" s="8"/>
      <c r="I707" s="8"/>
      <c r="J707" s="8"/>
      <c r="K707" s="8"/>
    </row>
    <row r="708" ht="15.75" customHeight="1">
      <c r="B708" s="8"/>
      <c r="I708" s="8"/>
      <c r="J708" s="8"/>
      <c r="K708" s="8"/>
    </row>
    <row r="709" ht="15.75" customHeight="1">
      <c r="B709" s="8"/>
      <c r="I709" s="8"/>
      <c r="J709" s="8"/>
      <c r="K709" s="8"/>
    </row>
    <row r="710" ht="15.75" customHeight="1">
      <c r="B710" s="8"/>
      <c r="I710" s="8"/>
      <c r="J710" s="8"/>
      <c r="K710" s="8"/>
    </row>
    <row r="711" ht="15.75" customHeight="1">
      <c r="B711" s="8"/>
      <c r="I711" s="8"/>
      <c r="J711" s="8"/>
      <c r="K711" s="8"/>
    </row>
    <row r="712" ht="15.75" customHeight="1">
      <c r="B712" s="8"/>
      <c r="I712" s="8"/>
      <c r="J712" s="8"/>
      <c r="K712" s="8"/>
    </row>
    <row r="713" ht="15.75" customHeight="1">
      <c r="B713" s="8"/>
      <c r="I713" s="8"/>
      <c r="J713" s="8"/>
      <c r="K713" s="8"/>
    </row>
    <row r="714" ht="15.75" customHeight="1">
      <c r="B714" s="8"/>
      <c r="I714" s="8"/>
      <c r="J714" s="8"/>
      <c r="K714" s="8"/>
    </row>
    <row r="715" ht="15.75" customHeight="1">
      <c r="B715" s="8"/>
      <c r="I715" s="8"/>
      <c r="J715" s="8"/>
      <c r="K715" s="8"/>
    </row>
    <row r="716" ht="15.75" customHeight="1">
      <c r="B716" s="8"/>
      <c r="I716" s="8"/>
      <c r="J716" s="8"/>
      <c r="K716" s="8"/>
    </row>
    <row r="717" ht="15.75" customHeight="1">
      <c r="B717" s="8"/>
      <c r="I717" s="8"/>
      <c r="J717" s="8"/>
      <c r="K717" s="8"/>
    </row>
    <row r="718" ht="15.75" customHeight="1">
      <c r="B718" s="8"/>
      <c r="I718" s="8"/>
      <c r="J718" s="8"/>
      <c r="K718" s="8"/>
    </row>
    <row r="719" ht="15.75" customHeight="1">
      <c r="B719" s="8"/>
      <c r="I719" s="8"/>
      <c r="J719" s="8"/>
      <c r="K719" s="8"/>
    </row>
    <row r="720" ht="15.75" customHeight="1">
      <c r="B720" s="8"/>
      <c r="I720" s="8"/>
      <c r="J720" s="8"/>
      <c r="K720" s="8"/>
    </row>
    <row r="721" ht="15.75" customHeight="1">
      <c r="B721" s="8"/>
      <c r="I721" s="8"/>
      <c r="J721" s="8"/>
      <c r="K721" s="8"/>
    </row>
    <row r="722" ht="15.75" customHeight="1">
      <c r="B722" s="8"/>
      <c r="I722" s="8"/>
      <c r="J722" s="8"/>
      <c r="K722" s="8"/>
    </row>
    <row r="723" ht="15.75" customHeight="1">
      <c r="B723" s="8"/>
      <c r="I723" s="8"/>
      <c r="J723" s="8"/>
      <c r="K723" s="8"/>
    </row>
    <row r="724" ht="15.75" customHeight="1">
      <c r="B724" s="8"/>
      <c r="I724" s="8"/>
      <c r="J724" s="8"/>
      <c r="K724" s="8"/>
    </row>
    <row r="725" ht="15.75" customHeight="1">
      <c r="B725" s="8"/>
      <c r="I725" s="8"/>
      <c r="J725" s="8"/>
      <c r="K725" s="8"/>
    </row>
    <row r="726" ht="15.75" customHeight="1">
      <c r="B726" s="8"/>
      <c r="I726" s="8"/>
      <c r="J726" s="8"/>
      <c r="K726" s="8"/>
    </row>
    <row r="727" ht="15.75" customHeight="1">
      <c r="B727" s="8"/>
      <c r="I727" s="8"/>
      <c r="J727" s="8"/>
      <c r="K727" s="8"/>
    </row>
    <row r="728" ht="15.75" customHeight="1">
      <c r="B728" s="8"/>
      <c r="I728" s="8"/>
      <c r="J728" s="8"/>
      <c r="K728" s="8"/>
    </row>
    <row r="729" ht="15.75" customHeight="1">
      <c r="B729" s="8"/>
      <c r="I729" s="8"/>
      <c r="J729" s="8"/>
      <c r="K729" s="8"/>
    </row>
    <row r="730" ht="15.75" customHeight="1">
      <c r="B730" s="8"/>
      <c r="I730" s="8"/>
      <c r="J730" s="8"/>
      <c r="K730" s="8"/>
    </row>
    <row r="731" ht="15.75" customHeight="1">
      <c r="B731" s="8"/>
      <c r="I731" s="8"/>
      <c r="J731" s="8"/>
      <c r="K731" s="8"/>
    </row>
    <row r="732" ht="15.75" customHeight="1">
      <c r="B732" s="8"/>
      <c r="I732" s="8"/>
      <c r="J732" s="8"/>
      <c r="K732" s="8"/>
    </row>
    <row r="733" ht="15.75" customHeight="1">
      <c r="B733" s="8"/>
      <c r="I733" s="8"/>
      <c r="J733" s="8"/>
      <c r="K733" s="8"/>
    </row>
    <row r="734" ht="15.75" customHeight="1">
      <c r="B734" s="8"/>
      <c r="I734" s="8"/>
      <c r="J734" s="8"/>
      <c r="K734" s="8"/>
    </row>
    <row r="735" ht="15.75" customHeight="1">
      <c r="B735" s="8"/>
      <c r="I735" s="8"/>
      <c r="J735" s="8"/>
      <c r="K735" s="8"/>
    </row>
    <row r="736" ht="15.75" customHeight="1">
      <c r="B736" s="8"/>
      <c r="I736" s="8"/>
      <c r="J736" s="8"/>
      <c r="K736" s="8"/>
    </row>
    <row r="737" ht="15.75" customHeight="1">
      <c r="B737" s="8"/>
      <c r="I737" s="8"/>
      <c r="J737" s="8"/>
      <c r="K737" s="8"/>
    </row>
    <row r="738" ht="15.75" customHeight="1">
      <c r="B738" s="8"/>
      <c r="I738" s="8"/>
      <c r="J738" s="8"/>
      <c r="K738" s="8"/>
    </row>
    <row r="739" ht="15.75" customHeight="1">
      <c r="B739" s="8"/>
      <c r="I739" s="8"/>
      <c r="J739" s="8"/>
      <c r="K739" s="8"/>
    </row>
    <row r="740" ht="15.75" customHeight="1">
      <c r="B740" s="8"/>
      <c r="I740" s="8"/>
      <c r="J740" s="8"/>
      <c r="K740" s="8"/>
    </row>
    <row r="741" ht="15.75" customHeight="1">
      <c r="B741" s="8"/>
      <c r="I741" s="8"/>
      <c r="J741" s="8"/>
      <c r="K741" s="8"/>
    </row>
    <row r="742" ht="15.75" customHeight="1">
      <c r="B742" s="8"/>
      <c r="I742" s="8"/>
      <c r="J742" s="8"/>
      <c r="K742" s="8"/>
    </row>
    <row r="743" ht="15.75" customHeight="1">
      <c r="B743" s="8"/>
      <c r="I743" s="8"/>
      <c r="J743" s="8"/>
      <c r="K743" s="8"/>
    </row>
    <row r="744" ht="15.75" customHeight="1">
      <c r="B744" s="8"/>
      <c r="I744" s="8"/>
      <c r="J744" s="8"/>
      <c r="K744" s="8"/>
    </row>
    <row r="745" ht="15.75" customHeight="1">
      <c r="B745" s="8"/>
      <c r="I745" s="8"/>
      <c r="J745" s="8"/>
      <c r="K745" s="8"/>
    </row>
    <row r="746" ht="15.75" customHeight="1">
      <c r="B746" s="8"/>
      <c r="I746" s="8"/>
      <c r="J746" s="8"/>
      <c r="K746" s="8"/>
    </row>
    <row r="747" ht="15.75" customHeight="1">
      <c r="B747" s="8"/>
      <c r="I747" s="8"/>
      <c r="J747" s="8"/>
      <c r="K747" s="8"/>
    </row>
    <row r="748" ht="15.75" customHeight="1">
      <c r="B748" s="8"/>
      <c r="I748" s="8"/>
      <c r="J748" s="8"/>
      <c r="K748" s="8"/>
    </row>
    <row r="749" ht="15.75" customHeight="1">
      <c r="B749" s="8"/>
      <c r="I749" s="8"/>
      <c r="J749" s="8"/>
      <c r="K749" s="8"/>
    </row>
    <row r="750" ht="15.75" customHeight="1">
      <c r="B750" s="8"/>
      <c r="I750" s="8"/>
      <c r="J750" s="8"/>
      <c r="K750" s="8"/>
    </row>
    <row r="751" ht="15.75" customHeight="1">
      <c r="B751" s="8"/>
      <c r="I751" s="8"/>
      <c r="J751" s="8"/>
      <c r="K751" s="8"/>
    </row>
    <row r="752" ht="15.75" customHeight="1">
      <c r="B752" s="8"/>
      <c r="I752" s="8"/>
      <c r="J752" s="8"/>
      <c r="K752" s="8"/>
    </row>
    <row r="753" ht="15.75" customHeight="1">
      <c r="B753" s="8"/>
      <c r="I753" s="8"/>
      <c r="J753" s="8"/>
      <c r="K753" s="8"/>
    </row>
    <row r="754" ht="15.75" customHeight="1">
      <c r="B754" s="8"/>
      <c r="I754" s="8"/>
      <c r="J754" s="8"/>
      <c r="K754" s="8"/>
    </row>
    <row r="755" ht="15.75" customHeight="1">
      <c r="B755" s="8"/>
      <c r="I755" s="8"/>
      <c r="J755" s="8"/>
      <c r="K755" s="8"/>
    </row>
    <row r="756" ht="15.75" customHeight="1">
      <c r="B756" s="8"/>
      <c r="I756" s="8"/>
      <c r="J756" s="8"/>
      <c r="K756" s="8"/>
    </row>
    <row r="757" ht="15.75" customHeight="1">
      <c r="B757" s="8"/>
      <c r="I757" s="8"/>
      <c r="J757" s="8"/>
      <c r="K757" s="8"/>
    </row>
    <row r="758" ht="15.75" customHeight="1">
      <c r="B758" s="8"/>
      <c r="I758" s="8"/>
      <c r="J758" s="8"/>
      <c r="K758" s="8"/>
    </row>
    <row r="759" ht="15.75" customHeight="1">
      <c r="B759" s="8"/>
      <c r="I759" s="8"/>
      <c r="J759" s="8"/>
      <c r="K759" s="8"/>
    </row>
    <row r="760" ht="15.75" customHeight="1">
      <c r="B760" s="8"/>
      <c r="I760" s="8"/>
      <c r="J760" s="8"/>
      <c r="K760" s="8"/>
    </row>
    <row r="761" ht="15.75" customHeight="1">
      <c r="B761" s="8"/>
      <c r="I761" s="8"/>
      <c r="J761" s="8"/>
      <c r="K761" s="8"/>
    </row>
    <row r="762" ht="15.75" customHeight="1">
      <c r="B762" s="8"/>
      <c r="I762" s="8"/>
      <c r="J762" s="8"/>
      <c r="K762" s="8"/>
    </row>
    <row r="763" ht="15.75" customHeight="1">
      <c r="B763" s="8"/>
      <c r="I763" s="8"/>
      <c r="J763" s="8"/>
      <c r="K763" s="8"/>
    </row>
    <row r="764" ht="15.75" customHeight="1">
      <c r="B764" s="8"/>
      <c r="I764" s="8"/>
      <c r="J764" s="8"/>
      <c r="K764" s="8"/>
    </row>
    <row r="765" ht="15.75" customHeight="1">
      <c r="B765" s="8"/>
      <c r="I765" s="8"/>
      <c r="J765" s="8"/>
      <c r="K765" s="8"/>
    </row>
    <row r="766" ht="15.75" customHeight="1">
      <c r="B766" s="8"/>
      <c r="I766" s="8"/>
      <c r="J766" s="8"/>
      <c r="K766" s="8"/>
    </row>
    <row r="767" ht="15.75" customHeight="1">
      <c r="B767" s="8"/>
      <c r="I767" s="8"/>
      <c r="J767" s="8"/>
      <c r="K767" s="8"/>
    </row>
    <row r="768" ht="15.75" customHeight="1">
      <c r="B768" s="8"/>
      <c r="I768" s="8"/>
      <c r="J768" s="8"/>
      <c r="K768" s="8"/>
    </row>
    <row r="769" ht="15.75" customHeight="1">
      <c r="B769" s="8"/>
      <c r="I769" s="8"/>
      <c r="J769" s="8"/>
      <c r="K769" s="8"/>
    </row>
    <row r="770" ht="15.75" customHeight="1">
      <c r="B770" s="8"/>
      <c r="I770" s="8"/>
      <c r="J770" s="8"/>
      <c r="K770" s="8"/>
    </row>
    <row r="771" ht="15.75" customHeight="1">
      <c r="B771" s="8"/>
      <c r="I771" s="8"/>
      <c r="J771" s="8"/>
      <c r="K771" s="8"/>
    </row>
    <row r="772" ht="15.75" customHeight="1">
      <c r="B772" s="8"/>
      <c r="I772" s="8"/>
      <c r="J772" s="8"/>
      <c r="K772" s="8"/>
    </row>
    <row r="773" ht="15.75" customHeight="1">
      <c r="B773" s="8"/>
      <c r="I773" s="8"/>
      <c r="J773" s="8"/>
      <c r="K773" s="8"/>
    </row>
    <row r="774" ht="15.75" customHeight="1">
      <c r="B774" s="8"/>
      <c r="I774" s="8"/>
      <c r="J774" s="8"/>
      <c r="K774" s="8"/>
    </row>
    <row r="775" ht="15.75" customHeight="1">
      <c r="B775" s="8"/>
      <c r="I775" s="8"/>
      <c r="J775" s="8"/>
      <c r="K775" s="8"/>
    </row>
    <row r="776" ht="15.75" customHeight="1">
      <c r="B776" s="8"/>
      <c r="I776" s="8"/>
      <c r="J776" s="8"/>
      <c r="K776" s="8"/>
    </row>
    <row r="777" ht="15.75" customHeight="1">
      <c r="B777" s="8"/>
      <c r="I777" s="8"/>
      <c r="J777" s="8"/>
      <c r="K777" s="8"/>
    </row>
    <row r="778" ht="15.75" customHeight="1">
      <c r="B778" s="8"/>
      <c r="I778" s="8"/>
      <c r="J778" s="8"/>
      <c r="K778" s="8"/>
    </row>
    <row r="779" ht="15.75" customHeight="1">
      <c r="B779" s="8"/>
      <c r="I779" s="8"/>
      <c r="J779" s="8"/>
      <c r="K779" s="8"/>
    </row>
    <row r="780" ht="15.75" customHeight="1">
      <c r="B780" s="8"/>
      <c r="I780" s="8"/>
      <c r="J780" s="8"/>
      <c r="K780" s="8"/>
    </row>
    <row r="781" ht="15.75" customHeight="1">
      <c r="B781" s="8"/>
      <c r="I781" s="8"/>
      <c r="J781" s="8"/>
      <c r="K781" s="8"/>
    </row>
    <row r="782" ht="15.75" customHeight="1">
      <c r="B782" s="8"/>
      <c r="I782" s="8"/>
      <c r="J782" s="8"/>
      <c r="K782" s="8"/>
    </row>
    <row r="783" ht="15.75" customHeight="1">
      <c r="B783" s="8"/>
      <c r="I783" s="8"/>
      <c r="J783" s="8"/>
      <c r="K783" s="8"/>
    </row>
    <row r="784" ht="15.75" customHeight="1">
      <c r="B784" s="8"/>
      <c r="I784" s="8"/>
      <c r="J784" s="8"/>
      <c r="K784" s="8"/>
    </row>
    <row r="785" ht="15.75" customHeight="1">
      <c r="B785" s="8"/>
      <c r="I785" s="8"/>
      <c r="J785" s="8"/>
      <c r="K785" s="8"/>
    </row>
    <row r="786" ht="15.75" customHeight="1">
      <c r="B786" s="8"/>
      <c r="I786" s="8"/>
      <c r="J786" s="8"/>
      <c r="K786" s="8"/>
    </row>
    <row r="787" ht="15.75" customHeight="1">
      <c r="B787" s="8"/>
      <c r="I787" s="8"/>
      <c r="J787" s="8"/>
      <c r="K787" s="8"/>
    </row>
    <row r="788" ht="15.75" customHeight="1">
      <c r="B788" s="8"/>
      <c r="I788" s="8"/>
      <c r="J788" s="8"/>
      <c r="K788" s="8"/>
    </row>
    <row r="789" ht="15.75" customHeight="1">
      <c r="B789" s="8"/>
      <c r="I789" s="8"/>
      <c r="J789" s="8"/>
      <c r="K789" s="8"/>
    </row>
    <row r="790" ht="15.75" customHeight="1">
      <c r="B790" s="8"/>
      <c r="I790" s="8"/>
      <c r="J790" s="8"/>
      <c r="K790" s="8"/>
    </row>
    <row r="791" ht="15.75" customHeight="1">
      <c r="B791" s="8"/>
      <c r="I791" s="8"/>
      <c r="J791" s="8"/>
      <c r="K791" s="8"/>
    </row>
    <row r="792" ht="15.75" customHeight="1">
      <c r="B792" s="8"/>
      <c r="I792" s="8"/>
      <c r="J792" s="8"/>
      <c r="K792" s="8"/>
    </row>
    <row r="793" ht="15.75" customHeight="1">
      <c r="B793" s="8"/>
      <c r="I793" s="8"/>
      <c r="J793" s="8"/>
      <c r="K793" s="8"/>
    </row>
    <row r="794" ht="15.75" customHeight="1">
      <c r="B794" s="8"/>
      <c r="I794" s="8"/>
      <c r="J794" s="8"/>
      <c r="K794" s="8"/>
    </row>
    <row r="795" ht="15.75" customHeight="1">
      <c r="B795" s="8"/>
      <c r="I795" s="8"/>
      <c r="J795" s="8"/>
      <c r="K795" s="8"/>
    </row>
    <row r="796" ht="15.75" customHeight="1">
      <c r="B796" s="8"/>
      <c r="I796" s="8"/>
      <c r="J796" s="8"/>
      <c r="K796" s="8"/>
    </row>
    <row r="797" ht="15.75" customHeight="1">
      <c r="B797" s="8"/>
      <c r="I797" s="8"/>
      <c r="J797" s="8"/>
      <c r="K797" s="8"/>
    </row>
    <row r="798" ht="15.75" customHeight="1">
      <c r="B798" s="8"/>
      <c r="I798" s="8"/>
      <c r="J798" s="8"/>
      <c r="K798" s="8"/>
    </row>
    <row r="799" ht="15.75" customHeight="1">
      <c r="B799" s="8"/>
      <c r="I799" s="8"/>
      <c r="J799" s="8"/>
      <c r="K799" s="8"/>
    </row>
    <row r="800" ht="15.75" customHeight="1">
      <c r="B800" s="8"/>
      <c r="I800" s="8"/>
      <c r="J800" s="8"/>
      <c r="K800" s="8"/>
    </row>
    <row r="801" ht="15.75" customHeight="1">
      <c r="B801" s="8"/>
      <c r="I801" s="8"/>
      <c r="J801" s="8"/>
      <c r="K801" s="8"/>
    </row>
    <row r="802" ht="15.75" customHeight="1">
      <c r="B802" s="8"/>
      <c r="I802" s="8"/>
      <c r="J802" s="8"/>
      <c r="K802" s="8"/>
    </row>
    <row r="803" ht="15.75" customHeight="1">
      <c r="B803" s="8"/>
      <c r="I803" s="8"/>
      <c r="J803" s="8"/>
      <c r="K803" s="8"/>
    </row>
    <row r="804" ht="15.75" customHeight="1">
      <c r="B804" s="8"/>
      <c r="I804" s="8"/>
      <c r="J804" s="8"/>
      <c r="K804" s="8"/>
    </row>
    <row r="805" ht="15.75" customHeight="1">
      <c r="B805" s="8"/>
      <c r="I805" s="8"/>
      <c r="J805" s="8"/>
      <c r="K805" s="8"/>
    </row>
    <row r="806" ht="15.75" customHeight="1">
      <c r="B806" s="8"/>
      <c r="I806" s="8"/>
      <c r="J806" s="8"/>
      <c r="K806" s="8"/>
    </row>
    <row r="807" ht="15.75" customHeight="1">
      <c r="B807" s="8"/>
      <c r="I807" s="8"/>
      <c r="J807" s="8"/>
      <c r="K807" s="8"/>
    </row>
    <row r="808" ht="15.75" customHeight="1">
      <c r="B808" s="8"/>
      <c r="I808" s="8"/>
      <c r="J808" s="8"/>
      <c r="K808" s="8"/>
    </row>
    <row r="809" ht="15.75" customHeight="1">
      <c r="B809" s="8"/>
      <c r="I809" s="8"/>
      <c r="J809" s="8"/>
      <c r="K809" s="8"/>
    </row>
    <row r="810" ht="15.75" customHeight="1">
      <c r="B810" s="8"/>
      <c r="I810" s="8"/>
      <c r="J810" s="8"/>
      <c r="K810" s="8"/>
    </row>
    <row r="811" ht="15.75" customHeight="1">
      <c r="B811" s="8"/>
      <c r="I811" s="8"/>
      <c r="J811" s="8"/>
      <c r="K811" s="8"/>
    </row>
    <row r="812" ht="15.75" customHeight="1">
      <c r="B812" s="8"/>
      <c r="I812" s="8"/>
      <c r="J812" s="8"/>
      <c r="K812" s="8"/>
    </row>
    <row r="813" ht="15.75" customHeight="1">
      <c r="B813" s="8"/>
      <c r="I813" s="8"/>
      <c r="J813" s="8"/>
      <c r="K813" s="8"/>
    </row>
    <row r="814" ht="15.75" customHeight="1">
      <c r="B814" s="8"/>
      <c r="I814" s="8"/>
      <c r="J814" s="8"/>
      <c r="K814" s="8"/>
    </row>
    <row r="815" ht="15.75" customHeight="1">
      <c r="B815" s="8"/>
      <c r="I815" s="8"/>
      <c r="J815" s="8"/>
      <c r="K815" s="8"/>
    </row>
    <row r="816" ht="15.75" customHeight="1">
      <c r="B816" s="8"/>
      <c r="I816" s="8"/>
      <c r="J816" s="8"/>
      <c r="K816" s="8"/>
    </row>
    <row r="817" ht="15.75" customHeight="1">
      <c r="B817" s="8"/>
      <c r="I817" s="8"/>
      <c r="J817" s="8"/>
      <c r="K817" s="8"/>
    </row>
    <row r="818" ht="15.75" customHeight="1">
      <c r="B818" s="8"/>
      <c r="I818" s="8"/>
      <c r="J818" s="8"/>
      <c r="K818" s="8"/>
    </row>
    <row r="819" ht="15.75" customHeight="1">
      <c r="B819" s="8"/>
      <c r="I819" s="8"/>
      <c r="J819" s="8"/>
      <c r="K819" s="8"/>
    </row>
    <row r="820" ht="15.75" customHeight="1">
      <c r="B820" s="8"/>
      <c r="I820" s="8"/>
      <c r="J820" s="8"/>
      <c r="K820" s="8"/>
    </row>
    <row r="821" ht="15.75" customHeight="1">
      <c r="B821" s="8"/>
      <c r="I821" s="8"/>
      <c r="J821" s="8"/>
      <c r="K821" s="8"/>
    </row>
    <row r="822" ht="15.75" customHeight="1">
      <c r="B822" s="8"/>
      <c r="I822" s="8"/>
      <c r="J822" s="8"/>
      <c r="K822" s="8"/>
    </row>
    <row r="823" ht="15.75" customHeight="1">
      <c r="B823" s="8"/>
      <c r="I823" s="8"/>
      <c r="J823" s="8"/>
      <c r="K823" s="8"/>
    </row>
    <row r="824" ht="15.75" customHeight="1">
      <c r="B824" s="8"/>
      <c r="I824" s="8"/>
      <c r="J824" s="8"/>
      <c r="K824" s="8"/>
    </row>
    <row r="825" ht="15.75" customHeight="1">
      <c r="B825" s="8"/>
      <c r="I825" s="8"/>
      <c r="J825" s="8"/>
      <c r="K825" s="8"/>
    </row>
    <row r="826" ht="15.75" customHeight="1">
      <c r="B826" s="8"/>
      <c r="I826" s="8"/>
      <c r="J826" s="8"/>
      <c r="K826" s="8"/>
    </row>
    <row r="827" ht="15.75" customHeight="1">
      <c r="B827" s="8"/>
      <c r="I827" s="8"/>
      <c r="J827" s="8"/>
      <c r="K827" s="8"/>
    </row>
    <row r="828" ht="15.75" customHeight="1">
      <c r="B828" s="8"/>
      <c r="I828" s="8"/>
      <c r="J828" s="8"/>
      <c r="K828" s="8"/>
    </row>
    <row r="829" ht="15.75" customHeight="1">
      <c r="B829" s="8"/>
      <c r="I829" s="8"/>
      <c r="J829" s="8"/>
      <c r="K829" s="8"/>
    </row>
    <row r="830" ht="15.75" customHeight="1">
      <c r="B830" s="8"/>
      <c r="I830" s="8"/>
      <c r="J830" s="8"/>
      <c r="K830" s="8"/>
    </row>
    <row r="831" ht="15.75" customHeight="1">
      <c r="B831" s="8"/>
      <c r="I831" s="8"/>
      <c r="J831" s="8"/>
      <c r="K831" s="8"/>
    </row>
    <row r="832" ht="15.75" customHeight="1">
      <c r="B832" s="8"/>
      <c r="I832" s="8"/>
      <c r="J832" s="8"/>
      <c r="K832" s="8"/>
    </row>
    <row r="833" ht="15.75" customHeight="1">
      <c r="B833" s="8"/>
      <c r="I833" s="8"/>
      <c r="J833" s="8"/>
      <c r="K833" s="8"/>
    </row>
    <row r="834" ht="15.75" customHeight="1">
      <c r="B834" s="8"/>
      <c r="I834" s="8"/>
      <c r="J834" s="8"/>
      <c r="K834" s="8"/>
    </row>
    <row r="835" ht="15.75" customHeight="1">
      <c r="B835" s="8"/>
      <c r="I835" s="8"/>
      <c r="J835" s="8"/>
      <c r="K835" s="8"/>
    </row>
    <row r="836" ht="15.75" customHeight="1">
      <c r="B836" s="8"/>
      <c r="I836" s="8"/>
      <c r="J836" s="8"/>
      <c r="K836" s="8"/>
    </row>
    <row r="837" ht="15.75" customHeight="1">
      <c r="B837" s="8"/>
      <c r="I837" s="8"/>
      <c r="J837" s="8"/>
      <c r="K837" s="8"/>
    </row>
    <row r="838" ht="15.75" customHeight="1">
      <c r="B838" s="8"/>
      <c r="I838" s="8"/>
      <c r="J838" s="8"/>
      <c r="K838" s="8"/>
    </row>
    <row r="839" ht="15.75" customHeight="1">
      <c r="B839" s="8"/>
      <c r="I839" s="8"/>
      <c r="J839" s="8"/>
      <c r="K839" s="8"/>
    </row>
    <row r="840" ht="15.75" customHeight="1">
      <c r="B840" s="8"/>
      <c r="I840" s="8"/>
      <c r="J840" s="8"/>
      <c r="K840" s="8"/>
    </row>
    <row r="841" ht="15.75" customHeight="1">
      <c r="B841" s="8"/>
      <c r="I841" s="8"/>
      <c r="J841" s="8"/>
      <c r="K841" s="8"/>
    </row>
    <row r="842" ht="15.75" customHeight="1">
      <c r="B842" s="8"/>
      <c r="I842" s="8"/>
      <c r="J842" s="8"/>
      <c r="K842" s="8"/>
    </row>
    <row r="843" ht="15.75" customHeight="1">
      <c r="B843" s="8"/>
      <c r="I843" s="8"/>
      <c r="J843" s="8"/>
      <c r="K843" s="8"/>
    </row>
    <row r="844" ht="15.75" customHeight="1">
      <c r="B844" s="8"/>
      <c r="I844" s="8"/>
      <c r="J844" s="8"/>
      <c r="K844" s="8"/>
    </row>
    <row r="845" ht="15.75" customHeight="1">
      <c r="B845" s="8"/>
      <c r="I845" s="8"/>
      <c r="J845" s="8"/>
      <c r="K845" s="8"/>
    </row>
    <row r="846" ht="15.75" customHeight="1">
      <c r="B846" s="8"/>
      <c r="I846" s="8"/>
      <c r="J846" s="8"/>
      <c r="K846" s="8"/>
    </row>
    <row r="847" ht="15.75" customHeight="1">
      <c r="B847" s="8"/>
      <c r="I847" s="8"/>
      <c r="J847" s="8"/>
      <c r="K847" s="8"/>
    </row>
    <row r="848" ht="15.75" customHeight="1">
      <c r="B848" s="8"/>
      <c r="I848" s="8"/>
      <c r="J848" s="8"/>
      <c r="K848" s="8"/>
    </row>
    <row r="849" ht="15.75" customHeight="1">
      <c r="B849" s="8"/>
      <c r="I849" s="8"/>
      <c r="J849" s="8"/>
      <c r="K849" s="8"/>
    </row>
    <row r="850" ht="15.75" customHeight="1">
      <c r="B850" s="8"/>
      <c r="I850" s="8"/>
      <c r="J850" s="8"/>
      <c r="K850" s="8"/>
    </row>
    <row r="851" ht="15.75" customHeight="1">
      <c r="B851" s="8"/>
      <c r="I851" s="8"/>
      <c r="J851" s="8"/>
      <c r="K851" s="8"/>
    </row>
    <row r="852" ht="15.75" customHeight="1">
      <c r="B852" s="8"/>
      <c r="I852" s="8"/>
      <c r="J852" s="8"/>
      <c r="K852" s="8"/>
    </row>
    <row r="853" ht="15.75" customHeight="1">
      <c r="B853" s="8"/>
      <c r="I853" s="8"/>
      <c r="J853" s="8"/>
      <c r="K853" s="8"/>
    </row>
    <row r="854" ht="15.75" customHeight="1">
      <c r="B854" s="8"/>
      <c r="I854" s="8"/>
      <c r="J854" s="8"/>
      <c r="K854" s="8"/>
    </row>
    <row r="855" ht="15.75" customHeight="1">
      <c r="B855" s="8"/>
      <c r="I855" s="8"/>
      <c r="J855" s="8"/>
      <c r="K855" s="8"/>
    </row>
    <row r="856" ht="15.75" customHeight="1">
      <c r="B856" s="8"/>
      <c r="I856" s="8"/>
      <c r="J856" s="8"/>
      <c r="K856" s="8"/>
    </row>
    <row r="857" ht="15.75" customHeight="1">
      <c r="B857" s="8"/>
      <c r="I857" s="8"/>
      <c r="J857" s="8"/>
      <c r="K857" s="8"/>
    </row>
    <row r="858" ht="15.75" customHeight="1">
      <c r="B858" s="8"/>
      <c r="I858" s="8"/>
      <c r="J858" s="8"/>
      <c r="K858" s="8"/>
    </row>
    <row r="859" ht="15.75" customHeight="1">
      <c r="B859" s="8"/>
      <c r="I859" s="8"/>
      <c r="J859" s="8"/>
      <c r="K859" s="8"/>
    </row>
    <row r="860" ht="15.75" customHeight="1">
      <c r="B860" s="8"/>
      <c r="I860" s="8"/>
      <c r="J860" s="8"/>
      <c r="K860" s="8"/>
    </row>
    <row r="861" ht="15.75" customHeight="1">
      <c r="B861" s="8"/>
      <c r="I861" s="8"/>
      <c r="J861" s="8"/>
      <c r="K861" s="8"/>
    </row>
    <row r="862" ht="15.75" customHeight="1">
      <c r="B862" s="8"/>
      <c r="I862" s="8"/>
      <c r="J862" s="8"/>
      <c r="K862" s="8"/>
    </row>
    <row r="863" ht="15.75" customHeight="1">
      <c r="B863" s="8"/>
      <c r="I863" s="8"/>
      <c r="J863" s="8"/>
      <c r="K863" s="8"/>
    </row>
    <row r="864" ht="15.75" customHeight="1">
      <c r="B864" s="8"/>
      <c r="I864" s="8"/>
      <c r="J864" s="8"/>
      <c r="K864" s="8"/>
    </row>
    <row r="865" ht="15.75" customHeight="1">
      <c r="B865" s="8"/>
      <c r="I865" s="8"/>
      <c r="J865" s="8"/>
      <c r="K865" s="8"/>
    </row>
    <row r="866" ht="15.75" customHeight="1">
      <c r="B866" s="8"/>
      <c r="I866" s="8"/>
      <c r="J866" s="8"/>
      <c r="K866" s="8"/>
    </row>
    <row r="867" ht="15.75" customHeight="1">
      <c r="B867" s="8"/>
      <c r="I867" s="8"/>
      <c r="J867" s="8"/>
      <c r="K867" s="8"/>
    </row>
    <row r="868" ht="15.75" customHeight="1">
      <c r="B868" s="8"/>
      <c r="I868" s="8"/>
      <c r="J868" s="8"/>
      <c r="K868" s="8"/>
    </row>
    <row r="869" ht="15.75" customHeight="1">
      <c r="B869" s="8"/>
      <c r="I869" s="8"/>
      <c r="J869" s="8"/>
      <c r="K869" s="8"/>
    </row>
    <row r="870" ht="15.75" customHeight="1">
      <c r="B870" s="8"/>
      <c r="I870" s="8"/>
      <c r="J870" s="8"/>
      <c r="K870" s="8"/>
    </row>
    <row r="871" ht="15.75" customHeight="1">
      <c r="B871" s="8"/>
      <c r="I871" s="8"/>
      <c r="J871" s="8"/>
      <c r="K871" s="8"/>
    </row>
    <row r="872" ht="15.75" customHeight="1">
      <c r="B872" s="8"/>
      <c r="I872" s="8"/>
      <c r="J872" s="8"/>
      <c r="K872" s="8"/>
    </row>
    <row r="873" ht="15.75" customHeight="1">
      <c r="B873" s="8"/>
      <c r="I873" s="8"/>
      <c r="J873" s="8"/>
      <c r="K873" s="8"/>
    </row>
    <row r="874" ht="15.75" customHeight="1">
      <c r="B874" s="8"/>
      <c r="I874" s="8"/>
      <c r="J874" s="8"/>
      <c r="K874" s="8"/>
    </row>
    <row r="875" ht="15.75" customHeight="1">
      <c r="B875" s="8"/>
      <c r="I875" s="8"/>
      <c r="J875" s="8"/>
      <c r="K875" s="8"/>
    </row>
    <row r="876" ht="15.75" customHeight="1">
      <c r="B876" s="8"/>
      <c r="I876" s="8"/>
      <c r="J876" s="8"/>
      <c r="K876" s="8"/>
    </row>
    <row r="877" ht="15.75" customHeight="1">
      <c r="B877" s="8"/>
      <c r="I877" s="8"/>
      <c r="J877" s="8"/>
      <c r="K877" s="8"/>
    </row>
    <row r="878" ht="15.75" customHeight="1">
      <c r="B878" s="8"/>
      <c r="I878" s="8"/>
      <c r="J878" s="8"/>
      <c r="K878" s="8"/>
    </row>
    <row r="879" ht="15.75" customHeight="1">
      <c r="B879" s="8"/>
      <c r="I879" s="8"/>
      <c r="J879" s="8"/>
      <c r="K879" s="8"/>
    </row>
    <row r="880" ht="15.75" customHeight="1">
      <c r="B880" s="8"/>
      <c r="I880" s="8"/>
      <c r="J880" s="8"/>
      <c r="K880" s="8"/>
    </row>
    <row r="881" ht="15.75" customHeight="1">
      <c r="B881" s="8"/>
      <c r="I881" s="8"/>
      <c r="J881" s="8"/>
      <c r="K881" s="8"/>
    </row>
    <row r="882" ht="15.75" customHeight="1">
      <c r="B882" s="8"/>
      <c r="I882" s="8"/>
      <c r="J882" s="8"/>
      <c r="K882" s="8"/>
    </row>
    <row r="883" ht="15.75" customHeight="1">
      <c r="B883" s="8"/>
      <c r="I883" s="8"/>
      <c r="J883" s="8"/>
      <c r="K883" s="8"/>
    </row>
    <row r="884" ht="15.75" customHeight="1">
      <c r="B884" s="8"/>
      <c r="I884" s="8"/>
      <c r="J884" s="8"/>
      <c r="K884" s="8"/>
    </row>
    <row r="885" ht="15.75" customHeight="1">
      <c r="B885" s="8"/>
      <c r="I885" s="8"/>
      <c r="J885" s="8"/>
      <c r="K885" s="8"/>
    </row>
    <row r="886" ht="15.75" customHeight="1">
      <c r="B886" s="8"/>
      <c r="I886" s="8"/>
      <c r="J886" s="8"/>
      <c r="K886" s="8"/>
    </row>
    <row r="887" ht="15.75" customHeight="1">
      <c r="B887" s="8"/>
      <c r="I887" s="8"/>
      <c r="J887" s="8"/>
      <c r="K887" s="8"/>
    </row>
    <row r="888" ht="15.75" customHeight="1">
      <c r="B888" s="8"/>
      <c r="I888" s="8"/>
      <c r="J888" s="8"/>
      <c r="K888" s="8"/>
    </row>
    <row r="889" ht="15.75" customHeight="1">
      <c r="B889" s="8"/>
      <c r="I889" s="8"/>
      <c r="J889" s="8"/>
      <c r="K889" s="8"/>
    </row>
    <row r="890" ht="15.75" customHeight="1">
      <c r="B890" s="8"/>
      <c r="I890" s="8"/>
      <c r="J890" s="8"/>
      <c r="K890" s="8"/>
    </row>
    <row r="891" ht="15.75" customHeight="1">
      <c r="B891" s="8"/>
      <c r="I891" s="8"/>
      <c r="J891" s="8"/>
      <c r="K891" s="8"/>
    </row>
    <row r="892" ht="15.75" customHeight="1">
      <c r="B892" s="8"/>
      <c r="I892" s="8"/>
      <c r="J892" s="8"/>
      <c r="K892" s="8"/>
    </row>
    <row r="893" ht="15.75" customHeight="1">
      <c r="B893" s="8"/>
      <c r="I893" s="8"/>
      <c r="J893" s="8"/>
      <c r="K893" s="8"/>
    </row>
    <row r="894" ht="15.75" customHeight="1">
      <c r="B894" s="8"/>
      <c r="I894" s="8"/>
      <c r="J894" s="8"/>
      <c r="K894" s="8"/>
    </row>
    <row r="895" ht="15.75" customHeight="1">
      <c r="B895" s="8"/>
      <c r="I895" s="8"/>
      <c r="J895" s="8"/>
      <c r="K895" s="8"/>
    </row>
    <row r="896" ht="15.75" customHeight="1">
      <c r="B896" s="8"/>
      <c r="I896" s="8"/>
      <c r="J896" s="8"/>
      <c r="K896" s="8"/>
    </row>
    <row r="897" ht="15.75" customHeight="1">
      <c r="B897" s="8"/>
      <c r="I897" s="8"/>
      <c r="J897" s="8"/>
      <c r="K897" s="8"/>
    </row>
    <row r="898" ht="15.75" customHeight="1">
      <c r="B898" s="8"/>
      <c r="I898" s="8"/>
      <c r="J898" s="8"/>
      <c r="K898" s="8"/>
    </row>
    <row r="899" ht="15.75" customHeight="1">
      <c r="B899" s="8"/>
      <c r="I899" s="8"/>
      <c r="J899" s="8"/>
      <c r="K899" s="8"/>
    </row>
    <row r="900" ht="15.75" customHeight="1">
      <c r="B900" s="8"/>
      <c r="I900" s="8"/>
      <c r="J900" s="8"/>
      <c r="K900" s="8"/>
    </row>
    <row r="901" ht="15.75" customHeight="1">
      <c r="B901" s="8"/>
      <c r="I901" s="8"/>
      <c r="J901" s="8"/>
      <c r="K901" s="8"/>
    </row>
    <row r="902" ht="15.75" customHeight="1">
      <c r="B902" s="8"/>
      <c r="I902" s="8"/>
      <c r="J902" s="8"/>
      <c r="K902" s="8"/>
    </row>
    <row r="903" ht="15.75" customHeight="1">
      <c r="B903" s="8"/>
      <c r="I903" s="8"/>
      <c r="J903" s="8"/>
      <c r="K903" s="8"/>
    </row>
    <row r="904" ht="15.75" customHeight="1">
      <c r="B904" s="8"/>
      <c r="I904" s="8"/>
      <c r="J904" s="8"/>
      <c r="K904" s="8"/>
    </row>
    <row r="905" ht="15.75" customHeight="1">
      <c r="B905" s="8"/>
      <c r="I905" s="8"/>
      <c r="J905" s="8"/>
      <c r="K905" s="8"/>
    </row>
    <row r="906" ht="15.75" customHeight="1">
      <c r="B906" s="8"/>
      <c r="I906" s="8"/>
      <c r="J906" s="8"/>
      <c r="K906" s="8"/>
    </row>
    <row r="907" ht="15.75" customHeight="1">
      <c r="B907" s="8"/>
      <c r="I907" s="8"/>
      <c r="J907" s="8"/>
      <c r="K907" s="8"/>
    </row>
    <row r="908" ht="15.75" customHeight="1">
      <c r="B908" s="8"/>
      <c r="I908" s="8"/>
      <c r="J908" s="8"/>
      <c r="K908" s="8"/>
    </row>
    <row r="909" ht="15.75" customHeight="1">
      <c r="B909" s="8"/>
      <c r="I909" s="8"/>
      <c r="J909" s="8"/>
      <c r="K909" s="8"/>
    </row>
    <row r="910" ht="15.75" customHeight="1">
      <c r="B910" s="8"/>
      <c r="I910" s="8"/>
      <c r="J910" s="8"/>
      <c r="K910" s="8"/>
    </row>
    <row r="911" ht="15.75" customHeight="1">
      <c r="B911" s="8"/>
      <c r="I911" s="8"/>
      <c r="J911" s="8"/>
      <c r="K911" s="8"/>
    </row>
    <row r="912" ht="15.75" customHeight="1">
      <c r="B912" s="8"/>
      <c r="I912" s="8"/>
      <c r="J912" s="8"/>
      <c r="K912" s="8"/>
    </row>
    <row r="913" ht="15.75" customHeight="1">
      <c r="B913" s="8"/>
      <c r="I913" s="8"/>
      <c r="J913" s="8"/>
      <c r="K913" s="8"/>
    </row>
    <row r="914" ht="15.75" customHeight="1">
      <c r="B914" s="8"/>
      <c r="I914" s="8"/>
      <c r="J914" s="8"/>
      <c r="K914" s="8"/>
    </row>
    <row r="915" ht="15.75" customHeight="1">
      <c r="B915" s="8"/>
      <c r="I915" s="8"/>
      <c r="J915" s="8"/>
      <c r="K915" s="8"/>
    </row>
    <row r="916" ht="15.75" customHeight="1">
      <c r="B916" s="8"/>
      <c r="I916" s="8"/>
      <c r="J916" s="8"/>
      <c r="K916" s="8"/>
    </row>
    <row r="917" ht="15.75" customHeight="1">
      <c r="B917" s="8"/>
      <c r="I917" s="8"/>
      <c r="J917" s="8"/>
      <c r="K917" s="8"/>
    </row>
    <row r="918" ht="15.75" customHeight="1">
      <c r="B918" s="8"/>
      <c r="I918" s="8"/>
      <c r="J918" s="8"/>
      <c r="K918" s="8"/>
    </row>
    <row r="919" ht="15.75" customHeight="1">
      <c r="B919" s="8"/>
      <c r="I919" s="8"/>
      <c r="J919" s="8"/>
      <c r="K919" s="8"/>
    </row>
    <row r="920" ht="15.75" customHeight="1">
      <c r="B920" s="8"/>
      <c r="I920" s="8"/>
      <c r="J920" s="8"/>
      <c r="K920" s="8"/>
    </row>
    <row r="921" ht="15.75" customHeight="1">
      <c r="B921" s="8"/>
      <c r="I921" s="8"/>
      <c r="J921" s="8"/>
      <c r="K921" s="8"/>
    </row>
    <row r="922" ht="15.75" customHeight="1">
      <c r="B922" s="8"/>
      <c r="I922" s="8"/>
      <c r="J922" s="8"/>
      <c r="K922" s="8"/>
    </row>
    <row r="923" ht="15.75" customHeight="1">
      <c r="B923" s="8"/>
      <c r="I923" s="8"/>
      <c r="J923" s="8"/>
      <c r="K923" s="8"/>
    </row>
    <row r="924" ht="15.75" customHeight="1">
      <c r="B924" s="8"/>
      <c r="I924" s="8"/>
      <c r="J924" s="8"/>
      <c r="K924" s="8"/>
    </row>
    <row r="925" ht="15.75" customHeight="1">
      <c r="B925" s="8"/>
      <c r="I925" s="8"/>
      <c r="J925" s="8"/>
      <c r="K925" s="8"/>
    </row>
    <row r="926" ht="15.75" customHeight="1">
      <c r="B926" s="8"/>
      <c r="I926" s="8"/>
      <c r="J926" s="8"/>
      <c r="K926" s="8"/>
    </row>
    <row r="927" ht="15.75" customHeight="1">
      <c r="B927" s="8"/>
      <c r="I927" s="8"/>
      <c r="J927" s="8"/>
      <c r="K927" s="8"/>
    </row>
    <row r="928" ht="15.75" customHeight="1">
      <c r="B928" s="8"/>
      <c r="I928" s="8"/>
      <c r="J928" s="8"/>
      <c r="K928" s="8"/>
    </row>
    <row r="929" ht="15.75" customHeight="1">
      <c r="B929" s="8"/>
      <c r="I929" s="8"/>
      <c r="J929" s="8"/>
      <c r="K929" s="8"/>
    </row>
    <row r="930" ht="15.75" customHeight="1">
      <c r="B930" s="8"/>
      <c r="I930" s="8"/>
      <c r="J930" s="8"/>
      <c r="K930" s="8"/>
    </row>
    <row r="931" ht="15.75" customHeight="1">
      <c r="B931" s="8"/>
      <c r="I931" s="8"/>
      <c r="J931" s="8"/>
      <c r="K931" s="8"/>
    </row>
    <row r="932" ht="15.75" customHeight="1">
      <c r="B932" s="8"/>
      <c r="I932" s="8"/>
      <c r="J932" s="8"/>
      <c r="K932" s="8"/>
    </row>
    <row r="933" ht="15.75" customHeight="1">
      <c r="B933" s="8"/>
      <c r="I933" s="8"/>
      <c r="J933" s="8"/>
      <c r="K933" s="8"/>
    </row>
    <row r="934" ht="15.75" customHeight="1">
      <c r="B934" s="8"/>
      <c r="I934" s="8"/>
      <c r="J934" s="8"/>
      <c r="K934" s="8"/>
    </row>
    <row r="935" ht="15.75" customHeight="1">
      <c r="B935" s="8"/>
      <c r="I935" s="8"/>
      <c r="J935" s="8"/>
      <c r="K935" s="8"/>
    </row>
    <row r="936" ht="15.75" customHeight="1">
      <c r="B936" s="8"/>
      <c r="I936" s="8"/>
      <c r="J936" s="8"/>
      <c r="K936" s="8"/>
    </row>
    <row r="937" ht="15.75" customHeight="1">
      <c r="B937" s="8"/>
      <c r="I937" s="8"/>
      <c r="J937" s="8"/>
      <c r="K937" s="8"/>
    </row>
    <row r="938" ht="15.75" customHeight="1">
      <c r="B938" s="8"/>
      <c r="I938" s="8"/>
      <c r="J938" s="8"/>
      <c r="K938" s="8"/>
    </row>
    <row r="939" ht="15.75" customHeight="1">
      <c r="B939" s="8"/>
      <c r="I939" s="8"/>
      <c r="J939" s="8"/>
      <c r="K939" s="8"/>
    </row>
    <row r="940" ht="15.75" customHeight="1">
      <c r="B940" s="8"/>
      <c r="I940" s="8"/>
      <c r="J940" s="8"/>
      <c r="K940" s="8"/>
    </row>
    <row r="941" ht="15.75" customHeight="1">
      <c r="B941" s="8"/>
      <c r="I941" s="8"/>
      <c r="J941" s="8"/>
      <c r="K941" s="8"/>
    </row>
    <row r="942" ht="15.75" customHeight="1">
      <c r="B942" s="8"/>
      <c r="I942" s="8"/>
      <c r="J942" s="8"/>
      <c r="K942" s="8"/>
    </row>
    <row r="943" ht="15.75" customHeight="1">
      <c r="B943" s="8"/>
      <c r="I943" s="8"/>
      <c r="J943" s="8"/>
      <c r="K943" s="8"/>
    </row>
    <row r="944" ht="15.75" customHeight="1">
      <c r="B944" s="8"/>
      <c r="I944" s="8"/>
      <c r="J944" s="8"/>
      <c r="K944" s="8"/>
    </row>
    <row r="945" ht="15.75" customHeight="1">
      <c r="B945" s="8"/>
      <c r="I945" s="8"/>
      <c r="J945" s="8"/>
      <c r="K945" s="8"/>
    </row>
    <row r="946" ht="15.75" customHeight="1">
      <c r="B946" s="8"/>
      <c r="I946" s="8"/>
      <c r="J946" s="8"/>
      <c r="K946" s="8"/>
    </row>
    <row r="947" ht="15.75" customHeight="1">
      <c r="B947" s="8"/>
      <c r="I947" s="8"/>
      <c r="J947" s="8"/>
      <c r="K947" s="8"/>
    </row>
    <row r="948" ht="15.75" customHeight="1">
      <c r="B948" s="8"/>
      <c r="I948" s="8"/>
      <c r="J948" s="8"/>
      <c r="K948" s="8"/>
    </row>
    <row r="949" ht="15.75" customHeight="1">
      <c r="B949" s="8"/>
      <c r="I949" s="8"/>
      <c r="J949" s="8"/>
      <c r="K949" s="8"/>
    </row>
    <row r="950" ht="15.75" customHeight="1">
      <c r="B950" s="8"/>
      <c r="I950" s="8"/>
      <c r="J950" s="8"/>
      <c r="K950" s="8"/>
    </row>
    <row r="951" ht="15.75" customHeight="1">
      <c r="B951" s="8"/>
      <c r="I951" s="8"/>
      <c r="J951" s="8"/>
      <c r="K951" s="8"/>
    </row>
    <row r="952" ht="15.75" customHeight="1">
      <c r="B952" s="8"/>
      <c r="I952" s="8"/>
      <c r="J952" s="8"/>
      <c r="K952" s="8"/>
    </row>
    <row r="953" ht="15.75" customHeight="1">
      <c r="B953" s="8"/>
      <c r="I953" s="8"/>
      <c r="J953" s="8"/>
      <c r="K953" s="8"/>
    </row>
    <row r="954" ht="15.75" customHeight="1">
      <c r="B954" s="8"/>
      <c r="I954" s="8"/>
      <c r="J954" s="8"/>
      <c r="K954" s="8"/>
    </row>
    <row r="955" ht="15.75" customHeight="1">
      <c r="B955" s="8"/>
      <c r="I955" s="8"/>
      <c r="J955" s="8"/>
      <c r="K955" s="8"/>
    </row>
    <row r="956" ht="15.75" customHeight="1">
      <c r="B956" s="8"/>
      <c r="I956" s="8"/>
      <c r="J956" s="8"/>
      <c r="K956" s="8"/>
    </row>
    <row r="957" ht="15.75" customHeight="1">
      <c r="B957" s="8"/>
      <c r="I957" s="8"/>
      <c r="J957" s="8"/>
      <c r="K957" s="8"/>
    </row>
    <row r="958" ht="15.75" customHeight="1">
      <c r="B958" s="8"/>
      <c r="I958" s="8"/>
      <c r="J958" s="8"/>
      <c r="K958" s="8"/>
    </row>
    <row r="959" ht="15.75" customHeight="1">
      <c r="B959" s="8"/>
      <c r="I959" s="8"/>
      <c r="J959" s="8"/>
      <c r="K959" s="8"/>
    </row>
    <row r="960" ht="15.75" customHeight="1">
      <c r="B960" s="8"/>
      <c r="I960" s="8"/>
      <c r="J960" s="8"/>
      <c r="K960" s="8"/>
    </row>
    <row r="961" ht="15.75" customHeight="1">
      <c r="B961" s="8"/>
      <c r="I961" s="8"/>
      <c r="J961" s="8"/>
      <c r="K961" s="8"/>
    </row>
    <row r="962" ht="15.75" customHeight="1">
      <c r="B962" s="8"/>
      <c r="I962" s="8"/>
      <c r="J962" s="8"/>
      <c r="K962" s="8"/>
    </row>
    <row r="963" ht="15.75" customHeight="1">
      <c r="B963" s="8"/>
      <c r="I963" s="8"/>
      <c r="J963" s="8"/>
      <c r="K963" s="8"/>
    </row>
    <row r="964" ht="15.75" customHeight="1">
      <c r="B964" s="8"/>
      <c r="I964" s="8"/>
      <c r="J964" s="8"/>
      <c r="K964" s="8"/>
    </row>
    <row r="965" ht="15.75" customHeight="1">
      <c r="B965" s="8"/>
      <c r="I965" s="8"/>
      <c r="J965" s="8"/>
      <c r="K965" s="8"/>
    </row>
    <row r="966" ht="15.75" customHeight="1">
      <c r="B966" s="8"/>
      <c r="I966" s="8"/>
      <c r="J966" s="8"/>
      <c r="K966" s="8"/>
    </row>
    <row r="967" ht="15.75" customHeight="1">
      <c r="B967" s="8"/>
      <c r="I967" s="8"/>
      <c r="J967" s="8"/>
      <c r="K967" s="8"/>
    </row>
    <row r="968" ht="15.75" customHeight="1">
      <c r="B968" s="8"/>
      <c r="I968" s="8"/>
      <c r="J968" s="8"/>
      <c r="K968" s="8"/>
    </row>
    <row r="969" ht="15.75" customHeight="1">
      <c r="B969" s="8"/>
      <c r="I969" s="8"/>
      <c r="J969" s="8"/>
      <c r="K969" s="8"/>
    </row>
    <row r="970" ht="15.75" customHeight="1">
      <c r="B970" s="8"/>
      <c r="I970" s="8"/>
      <c r="J970" s="8"/>
      <c r="K970" s="8"/>
    </row>
    <row r="971" ht="15.75" customHeight="1">
      <c r="B971" s="8"/>
      <c r="I971" s="8"/>
      <c r="J971" s="8"/>
      <c r="K971" s="8"/>
    </row>
    <row r="972" ht="15.75" customHeight="1">
      <c r="B972" s="8"/>
      <c r="I972" s="8"/>
      <c r="J972" s="8"/>
      <c r="K972" s="8"/>
    </row>
    <row r="973" ht="15.75" customHeight="1">
      <c r="B973" s="8"/>
      <c r="I973" s="8"/>
      <c r="J973" s="8"/>
      <c r="K973" s="8"/>
    </row>
    <row r="974" ht="15.75" customHeight="1">
      <c r="B974" s="8"/>
      <c r="I974" s="8"/>
      <c r="J974" s="8"/>
      <c r="K974" s="8"/>
    </row>
    <row r="975" ht="15.75" customHeight="1">
      <c r="B975" s="8"/>
      <c r="I975" s="8"/>
      <c r="J975" s="8"/>
      <c r="K975" s="8"/>
    </row>
    <row r="976" ht="15.75" customHeight="1">
      <c r="B976" s="8"/>
      <c r="I976" s="8"/>
      <c r="J976" s="8"/>
      <c r="K976" s="8"/>
    </row>
    <row r="977" ht="15.75" customHeight="1">
      <c r="B977" s="8"/>
      <c r="I977" s="8"/>
      <c r="J977" s="8"/>
      <c r="K977" s="8"/>
    </row>
    <row r="978" ht="15.75" customHeight="1">
      <c r="B978" s="8"/>
      <c r="I978" s="8"/>
      <c r="J978" s="8"/>
      <c r="K978" s="8"/>
    </row>
    <row r="979" ht="15.75" customHeight="1">
      <c r="B979" s="8"/>
      <c r="I979" s="8"/>
      <c r="J979" s="8"/>
      <c r="K979" s="8"/>
    </row>
    <row r="980" ht="15.75" customHeight="1">
      <c r="B980" s="8"/>
      <c r="I980" s="8"/>
      <c r="J980" s="8"/>
      <c r="K980" s="8"/>
    </row>
    <row r="981" ht="15.75" customHeight="1">
      <c r="B981" s="8"/>
      <c r="I981" s="8"/>
      <c r="J981" s="8"/>
      <c r="K981" s="8"/>
    </row>
    <row r="982" ht="15.75" customHeight="1">
      <c r="B982" s="8"/>
      <c r="I982" s="8"/>
      <c r="J982" s="8"/>
      <c r="K982" s="8"/>
    </row>
    <row r="983" ht="15.75" customHeight="1">
      <c r="B983" s="8"/>
      <c r="I983" s="8"/>
      <c r="J983" s="8"/>
      <c r="K983" s="8"/>
    </row>
    <row r="984" ht="15.75" customHeight="1">
      <c r="B984" s="8"/>
      <c r="I984" s="8"/>
      <c r="J984" s="8"/>
      <c r="K984" s="8"/>
    </row>
    <row r="985" ht="15.75" customHeight="1">
      <c r="B985" s="8"/>
      <c r="I985" s="8"/>
      <c r="J985" s="8"/>
      <c r="K985" s="8"/>
    </row>
    <row r="986" ht="15.75" customHeight="1">
      <c r="B986" s="8"/>
      <c r="I986" s="8"/>
      <c r="J986" s="8"/>
      <c r="K986" s="8"/>
    </row>
    <row r="987" ht="15.75" customHeight="1">
      <c r="B987" s="8"/>
      <c r="I987" s="8"/>
      <c r="J987" s="8"/>
      <c r="K987" s="8"/>
    </row>
    <row r="988" ht="15.75" customHeight="1">
      <c r="B988" s="8"/>
      <c r="I988" s="8"/>
      <c r="J988" s="8"/>
      <c r="K988" s="8"/>
    </row>
    <row r="989" ht="15.75" customHeight="1">
      <c r="B989" s="8"/>
      <c r="I989" s="8"/>
      <c r="J989" s="8"/>
      <c r="K989" s="8"/>
    </row>
    <row r="990" ht="15.75" customHeight="1">
      <c r="B990" s="8"/>
      <c r="I990" s="8"/>
      <c r="J990" s="8"/>
      <c r="K990" s="8"/>
    </row>
    <row r="991" ht="15.75" customHeight="1">
      <c r="B991" s="8"/>
      <c r="I991" s="8"/>
      <c r="J991" s="8"/>
      <c r="K991" s="8"/>
    </row>
    <row r="992" ht="15.75" customHeight="1">
      <c r="B992" s="8"/>
      <c r="I992" s="8"/>
      <c r="J992" s="8"/>
      <c r="K992" s="8"/>
    </row>
    <row r="993" ht="15.75" customHeight="1">
      <c r="B993" s="8"/>
      <c r="I993" s="8"/>
      <c r="J993" s="8"/>
      <c r="K993" s="8"/>
    </row>
    <row r="994" ht="15.75" customHeight="1">
      <c r="B994" s="8"/>
      <c r="I994" s="8"/>
      <c r="J994" s="8"/>
      <c r="K994" s="8"/>
    </row>
    <row r="995" ht="15.75" customHeight="1">
      <c r="B995" s="8"/>
      <c r="I995" s="8"/>
      <c r="J995" s="8"/>
      <c r="K995" s="8"/>
    </row>
    <row r="996" ht="15.75" customHeight="1">
      <c r="B996" s="8"/>
      <c r="I996" s="8"/>
      <c r="J996" s="8"/>
      <c r="K996" s="8"/>
    </row>
    <row r="997" ht="15.75" customHeight="1">
      <c r="B997" s="8"/>
      <c r="I997" s="8"/>
      <c r="J997" s="8"/>
      <c r="K997" s="8"/>
    </row>
    <row r="998" ht="15.75" customHeight="1">
      <c r="B998" s="8"/>
      <c r="I998" s="8"/>
      <c r="J998" s="8"/>
      <c r="K998" s="8"/>
    </row>
    <row r="999" ht="15.75" customHeight="1">
      <c r="B999" s="8"/>
      <c r="I999" s="8"/>
      <c r="J999" s="8"/>
      <c r="K999" s="8"/>
    </row>
    <row r="1000" ht="15.75" customHeight="1">
      <c r="B1000" s="8"/>
      <c r="I1000" s="8"/>
      <c r="J1000" s="8"/>
      <c r="K1000" s="8"/>
    </row>
    <row r="1001" ht="15.75" customHeight="1">
      <c r="B1001" s="8"/>
      <c r="I1001" s="8"/>
      <c r="J1001" s="8"/>
      <c r="K1001" s="8"/>
    </row>
    <row r="1002" ht="15.75" customHeight="1">
      <c r="B1002" s="8"/>
      <c r="I1002" s="8"/>
      <c r="J1002" s="8"/>
      <c r="K1002" s="8"/>
    </row>
    <row r="1003" ht="15.75" customHeight="1">
      <c r="B1003" s="8"/>
      <c r="I1003" s="8"/>
      <c r="J1003" s="8"/>
      <c r="K1003" s="8"/>
    </row>
    <row r="1004" ht="15.75" customHeight="1">
      <c r="B1004" s="8"/>
      <c r="I1004" s="8"/>
      <c r="J1004" s="8"/>
      <c r="K1004" s="8"/>
    </row>
    <row r="1005" ht="15.75" customHeight="1">
      <c r="B1005" s="8"/>
      <c r="I1005" s="8"/>
      <c r="J1005" s="8"/>
      <c r="K1005" s="8"/>
    </row>
    <row r="1006" ht="15.75" customHeight="1">
      <c r="B1006" s="8"/>
      <c r="I1006" s="8"/>
      <c r="J1006" s="8"/>
      <c r="K1006" s="8"/>
    </row>
    <row r="1007" ht="15.75" customHeight="1">
      <c r="B1007" s="8"/>
      <c r="I1007" s="8"/>
      <c r="J1007" s="8"/>
      <c r="K1007" s="8"/>
    </row>
    <row r="1008" ht="15.75" customHeight="1">
      <c r="B1008" s="8"/>
      <c r="I1008" s="8"/>
      <c r="J1008" s="8"/>
      <c r="K1008" s="8"/>
    </row>
    <row r="1009" ht="15.75" customHeight="1">
      <c r="B1009" s="8"/>
      <c r="I1009" s="8"/>
      <c r="J1009" s="8"/>
      <c r="K1009" s="8"/>
    </row>
    <row r="1010" ht="15.75" customHeight="1">
      <c r="B1010" s="8"/>
      <c r="I1010" s="8"/>
      <c r="J1010" s="8"/>
      <c r="K1010" s="8"/>
    </row>
    <row r="1011" ht="15.75" customHeight="1">
      <c r="B1011" s="8"/>
      <c r="I1011" s="8"/>
      <c r="J1011" s="8"/>
      <c r="K1011" s="8"/>
    </row>
    <row r="1012" ht="15.75" customHeight="1">
      <c r="B1012" s="8"/>
      <c r="I1012" s="8"/>
      <c r="J1012" s="8"/>
      <c r="K1012" s="8"/>
    </row>
    <row r="1013" ht="15.75" customHeight="1">
      <c r="B1013" s="8"/>
      <c r="I1013" s="8"/>
      <c r="J1013" s="8"/>
      <c r="K1013" s="8"/>
    </row>
    <row r="1014" ht="15.75" customHeight="1">
      <c r="B1014" s="8"/>
      <c r="I1014" s="8"/>
      <c r="J1014" s="8"/>
      <c r="K1014" s="8"/>
    </row>
    <row r="1015" ht="15.75" customHeight="1">
      <c r="B1015" s="8"/>
      <c r="I1015" s="8"/>
      <c r="J1015" s="8"/>
      <c r="K1015" s="8"/>
    </row>
    <row r="1016" ht="15.75" customHeight="1">
      <c r="B1016" s="8"/>
      <c r="I1016" s="8"/>
      <c r="J1016" s="8"/>
      <c r="K1016" s="8"/>
    </row>
    <row r="1017" ht="15.75" customHeight="1">
      <c r="B1017" s="8"/>
      <c r="I1017" s="8"/>
      <c r="J1017" s="8"/>
      <c r="K1017" s="8"/>
    </row>
    <row r="1018" ht="15.75" customHeight="1">
      <c r="B1018" s="8"/>
      <c r="I1018" s="8"/>
      <c r="J1018" s="8"/>
      <c r="K1018" s="8"/>
    </row>
    <row r="1019" ht="15.75" customHeight="1">
      <c r="B1019" s="8"/>
      <c r="I1019" s="8"/>
      <c r="J1019" s="8"/>
      <c r="K1019" s="8"/>
    </row>
    <row r="1020" ht="15.75" customHeight="1">
      <c r="B1020" s="8"/>
      <c r="I1020" s="8"/>
      <c r="J1020" s="8"/>
      <c r="K1020" s="8"/>
    </row>
    <row r="1021" ht="15.75" customHeight="1">
      <c r="B1021" s="8"/>
      <c r="I1021" s="8"/>
      <c r="J1021" s="8"/>
      <c r="K1021" s="8"/>
    </row>
    <row r="1022" ht="15.75" customHeight="1">
      <c r="B1022" s="8"/>
      <c r="I1022" s="8"/>
      <c r="J1022" s="8"/>
      <c r="K1022" s="8"/>
    </row>
    <row r="1023" ht="15.75" customHeight="1">
      <c r="B1023" s="8"/>
      <c r="I1023" s="8"/>
      <c r="J1023" s="8"/>
      <c r="K1023" s="8"/>
    </row>
    <row r="1024" ht="15.75" customHeight="1">
      <c r="B1024" s="8"/>
      <c r="I1024" s="8"/>
      <c r="J1024" s="8"/>
      <c r="K1024" s="8"/>
    </row>
  </sheetData>
  <printOptions/>
  <pageMargins bottom="0.75" footer="0.0" header="0.0" left="0.7" right="0.7" top="0.75"/>
  <pageSetup paperSize="8"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3" max="3" width="31.57"/>
    <col customWidth="1" min="5" max="5" width="26.29"/>
    <col customWidth="1" min="6" max="6" width="71.14"/>
    <col customWidth="1" min="20" max="20" width="31.14"/>
  </cols>
  <sheetData>
    <row r="1">
      <c r="A1" s="16" t="s">
        <v>167</v>
      </c>
      <c r="B1" s="17" t="s">
        <v>168</v>
      </c>
      <c r="C1" s="18" t="s">
        <v>169</v>
      </c>
      <c r="D1" s="19" t="s">
        <v>170</v>
      </c>
      <c r="E1" s="20" t="s">
        <v>171</v>
      </c>
      <c r="F1" s="21" t="s">
        <v>172</v>
      </c>
      <c r="G1" s="22" t="s">
        <v>173</v>
      </c>
      <c r="H1" s="19" t="s">
        <v>174</v>
      </c>
      <c r="I1" s="19" t="s">
        <v>175</v>
      </c>
      <c r="J1" s="20" t="s">
        <v>176</v>
      </c>
      <c r="K1" s="20" t="s">
        <v>177</v>
      </c>
      <c r="L1" s="20" t="s">
        <v>178</v>
      </c>
      <c r="M1" s="23" t="s">
        <v>179</v>
      </c>
      <c r="N1" s="24" t="s">
        <v>180</v>
      </c>
      <c r="O1" s="25" t="s">
        <v>181</v>
      </c>
      <c r="P1" s="26" t="s">
        <v>182</v>
      </c>
      <c r="Q1" s="25" t="s">
        <v>183</v>
      </c>
      <c r="R1" s="25" t="s">
        <v>184</v>
      </c>
      <c r="S1" s="27" t="s">
        <v>185</v>
      </c>
      <c r="T1" s="28" t="s">
        <v>186</v>
      </c>
      <c r="U1" s="29" t="s">
        <v>187</v>
      </c>
    </row>
    <row r="2">
      <c r="A2" s="30">
        <v>51.444057</v>
      </c>
      <c r="B2" s="30">
        <v>25.155561</v>
      </c>
      <c r="C2" s="30" t="str">
        <f t="shared" ref="C2:C679" si="1">A2&amp;" "&amp;B2</f>
        <v>51.444057 25.155561</v>
      </c>
      <c r="D2" s="30">
        <v>57.0</v>
      </c>
      <c r="E2" s="31" t="s">
        <v>188</v>
      </c>
      <c r="F2" s="32" t="s">
        <v>189</v>
      </c>
      <c r="G2" s="30" t="s">
        <v>190</v>
      </c>
      <c r="H2" s="33">
        <v>46102.0</v>
      </c>
      <c r="I2" s="11">
        <v>1391195.0</v>
      </c>
      <c r="J2" s="30" t="s">
        <v>191</v>
      </c>
      <c r="K2" s="34" t="s">
        <v>192</v>
      </c>
      <c r="L2" s="35"/>
      <c r="M2" s="30">
        <v>3.0</v>
      </c>
      <c r="N2" s="30" t="s">
        <v>193</v>
      </c>
      <c r="O2" s="30" t="s">
        <v>194</v>
      </c>
      <c r="P2" s="30">
        <v>160.0</v>
      </c>
      <c r="Q2" s="36" t="s">
        <v>195</v>
      </c>
      <c r="R2" s="36" t="s">
        <v>196</v>
      </c>
      <c r="S2" s="30" t="s">
        <v>197</v>
      </c>
      <c r="T2" s="30" t="s">
        <v>198</v>
      </c>
      <c r="U2" s="30">
        <v>1.5717762E7</v>
      </c>
    </row>
    <row r="3">
      <c r="A3" s="30">
        <v>51.446099</v>
      </c>
      <c r="B3" s="30">
        <v>25.15252</v>
      </c>
      <c r="C3" s="30" t="str">
        <f t="shared" si="1"/>
        <v>51.446099 25.15252</v>
      </c>
      <c r="D3" s="30">
        <v>91.0</v>
      </c>
      <c r="E3" s="36" t="s">
        <v>199</v>
      </c>
      <c r="F3" s="32" t="s">
        <v>200</v>
      </c>
      <c r="G3" s="30" t="s">
        <v>190</v>
      </c>
      <c r="H3" s="33">
        <v>46072.0</v>
      </c>
      <c r="I3" s="30">
        <v>1376728.0</v>
      </c>
      <c r="J3" s="30" t="s">
        <v>201</v>
      </c>
      <c r="K3" s="37" t="s">
        <v>202</v>
      </c>
      <c r="L3" s="30" t="s">
        <v>195</v>
      </c>
      <c r="M3" s="30">
        <v>3.0</v>
      </c>
      <c r="N3" s="30" t="s">
        <v>193</v>
      </c>
      <c r="O3" s="30" t="s">
        <v>194</v>
      </c>
      <c r="P3" s="30">
        <v>160.0</v>
      </c>
      <c r="Q3" s="36" t="s">
        <v>195</v>
      </c>
      <c r="R3" s="36" t="s">
        <v>196</v>
      </c>
      <c r="S3" s="30" t="s">
        <v>197</v>
      </c>
      <c r="T3" s="30" t="s">
        <v>203</v>
      </c>
      <c r="U3" s="30">
        <v>1.5717763E7</v>
      </c>
    </row>
    <row r="4">
      <c r="A4" s="30">
        <v>51.471713</v>
      </c>
      <c r="B4" s="30">
        <v>25.16626</v>
      </c>
      <c r="C4" s="30" t="str">
        <f t="shared" si="1"/>
        <v>51.471713 25.16626</v>
      </c>
      <c r="D4" s="30">
        <v>57.0</v>
      </c>
      <c r="E4" s="36" t="s">
        <v>204</v>
      </c>
      <c r="F4" s="32" t="s">
        <v>205</v>
      </c>
      <c r="G4" s="30" t="s">
        <v>190</v>
      </c>
      <c r="H4" s="33">
        <v>46102.0</v>
      </c>
      <c r="I4" s="30" t="s">
        <v>201</v>
      </c>
      <c r="J4" s="30" t="s">
        <v>206</v>
      </c>
      <c r="K4" s="34" t="s">
        <v>192</v>
      </c>
      <c r="L4" s="35"/>
      <c r="M4" s="30">
        <v>3.0</v>
      </c>
      <c r="N4" s="30" t="s">
        <v>193</v>
      </c>
      <c r="O4" s="38" t="s">
        <v>194</v>
      </c>
      <c r="P4" s="30">
        <v>160.0</v>
      </c>
      <c r="Q4" s="36" t="s">
        <v>195</v>
      </c>
      <c r="R4" s="36" t="s">
        <v>196</v>
      </c>
      <c r="S4" s="30" t="s">
        <v>197</v>
      </c>
      <c r="T4" s="30" t="s">
        <v>207</v>
      </c>
      <c r="U4" s="30">
        <v>1.5717779E7</v>
      </c>
    </row>
    <row r="5">
      <c r="A5" s="30">
        <v>51.473238</v>
      </c>
      <c r="B5" s="30">
        <v>25.162045</v>
      </c>
      <c r="C5" s="30" t="str">
        <f t="shared" si="1"/>
        <v>51.473238 25.162045</v>
      </c>
      <c r="D5" s="30">
        <v>91.0</v>
      </c>
      <c r="E5" s="39" t="s">
        <v>208</v>
      </c>
      <c r="F5" s="40" t="s">
        <v>209</v>
      </c>
      <c r="G5" s="41" t="s">
        <v>190</v>
      </c>
      <c r="H5" s="42">
        <v>46084.0</v>
      </c>
      <c r="I5" s="41">
        <v>1376615.0</v>
      </c>
      <c r="J5" s="41" t="s">
        <v>210</v>
      </c>
      <c r="K5" s="37" t="s">
        <v>202</v>
      </c>
      <c r="L5" s="41" t="s">
        <v>195</v>
      </c>
      <c r="M5" s="41">
        <v>3.0</v>
      </c>
      <c r="N5" s="41" t="s">
        <v>193</v>
      </c>
      <c r="O5" s="30" t="s">
        <v>194</v>
      </c>
      <c r="P5" s="30">
        <v>160.0</v>
      </c>
      <c r="Q5" s="30" t="s">
        <v>195</v>
      </c>
      <c r="R5" s="30" t="s">
        <v>196</v>
      </c>
      <c r="S5" s="30" t="s">
        <v>197</v>
      </c>
      <c r="T5" s="30" t="s">
        <v>211</v>
      </c>
      <c r="U5" s="30">
        <v>1.571778E7</v>
      </c>
    </row>
    <row r="6">
      <c r="A6" s="30">
        <v>51.492865</v>
      </c>
      <c r="B6" s="30">
        <v>25.172</v>
      </c>
      <c r="C6" s="30" t="str">
        <f t="shared" si="1"/>
        <v>51.492865 25.172</v>
      </c>
      <c r="D6" s="30">
        <v>91.0</v>
      </c>
      <c r="E6" s="39" t="s">
        <v>212</v>
      </c>
      <c r="F6" s="40" t="s">
        <v>213</v>
      </c>
      <c r="G6" s="41" t="s">
        <v>190</v>
      </c>
      <c r="H6" s="42">
        <v>46077.0</v>
      </c>
      <c r="I6" s="41">
        <v>1376715.0</v>
      </c>
      <c r="J6" s="41" t="s">
        <v>210</v>
      </c>
      <c r="K6" s="37" t="s">
        <v>202</v>
      </c>
      <c r="L6" s="41" t="s">
        <v>195</v>
      </c>
      <c r="M6" s="41">
        <v>3.0</v>
      </c>
      <c r="N6" s="41" t="s">
        <v>193</v>
      </c>
      <c r="O6" s="30" t="s">
        <v>194</v>
      </c>
      <c r="P6" s="30">
        <v>160.0</v>
      </c>
      <c r="Q6" s="30" t="s">
        <v>195</v>
      </c>
      <c r="R6" s="30" t="s">
        <v>196</v>
      </c>
      <c r="S6" s="30" t="s">
        <v>197</v>
      </c>
      <c r="T6" s="30" t="s">
        <v>214</v>
      </c>
      <c r="U6" s="30">
        <v>1.5717782E7</v>
      </c>
    </row>
    <row r="7">
      <c r="A7" s="30">
        <v>51.490491</v>
      </c>
      <c r="B7" s="30">
        <v>25.174092</v>
      </c>
      <c r="C7" s="30" t="str">
        <f t="shared" si="1"/>
        <v>51.490491 25.174092</v>
      </c>
      <c r="D7" s="30">
        <v>56.0</v>
      </c>
      <c r="E7" s="36" t="s">
        <v>215</v>
      </c>
      <c r="F7" s="36" t="s">
        <v>215</v>
      </c>
      <c r="G7" s="30" t="s">
        <v>190</v>
      </c>
      <c r="H7" s="33">
        <v>46091.0</v>
      </c>
      <c r="I7" s="30">
        <v>1390958.0</v>
      </c>
      <c r="J7" s="30" t="s">
        <v>210</v>
      </c>
      <c r="K7" s="37" t="s">
        <v>202</v>
      </c>
      <c r="L7" s="30" t="s">
        <v>195</v>
      </c>
      <c r="M7" s="30">
        <v>2.0</v>
      </c>
      <c r="N7" s="30" t="s">
        <v>216</v>
      </c>
      <c r="O7" s="30" t="s">
        <v>194</v>
      </c>
      <c r="P7" s="30">
        <v>160.0</v>
      </c>
      <c r="Q7" s="30" t="s">
        <v>195</v>
      </c>
      <c r="R7" s="30" t="s">
        <v>196</v>
      </c>
      <c r="S7" s="30" t="s">
        <v>197</v>
      </c>
      <c r="T7" s="30" t="s">
        <v>217</v>
      </c>
      <c r="U7" s="30">
        <v>1.5717783E7</v>
      </c>
    </row>
    <row r="8">
      <c r="A8" s="30">
        <v>51.430403</v>
      </c>
      <c r="B8" s="30">
        <v>25.150106</v>
      </c>
      <c r="C8" s="30" t="str">
        <f t="shared" si="1"/>
        <v>51.430403 25.150106</v>
      </c>
      <c r="D8" s="30">
        <v>81.0</v>
      </c>
      <c r="E8" s="36" t="s">
        <v>218</v>
      </c>
      <c r="F8" s="32" t="s">
        <v>219</v>
      </c>
      <c r="G8" s="30" t="s">
        <v>190</v>
      </c>
      <c r="H8" s="33">
        <v>46097.0</v>
      </c>
      <c r="I8" s="30" t="s">
        <v>201</v>
      </c>
      <c r="J8" s="30" t="s">
        <v>210</v>
      </c>
      <c r="K8" s="37" t="s">
        <v>202</v>
      </c>
      <c r="L8" s="35"/>
      <c r="M8" s="30">
        <v>3.0</v>
      </c>
      <c r="N8" s="30" t="s">
        <v>220</v>
      </c>
      <c r="O8" s="30" t="s">
        <v>194</v>
      </c>
      <c r="P8" s="30">
        <v>160.0</v>
      </c>
      <c r="Q8" s="30" t="s">
        <v>221</v>
      </c>
      <c r="R8" s="30" t="s">
        <v>222</v>
      </c>
      <c r="S8" s="30" t="s">
        <v>197</v>
      </c>
      <c r="T8" s="30" t="s">
        <v>223</v>
      </c>
      <c r="U8" s="30">
        <v>1.572515E7</v>
      </c>
    </row>
    <row r="9">
      <c r="A9" s="30">
        <v>51.407408</v>
      </c>
      <c r="B9" s="30">
        <v>25.139912</v>
      </c>
      <c r="C9" s="30" t="str">
        <f t="shared" si="1"/>
        <v>51.407408 25.139912</v>
      </c>
      <c r="D9" s="30">
        <v>1.0</v>
      </c>
      <c r="E9" s="39" t="s">
        <v>224</v>
      </c>
      <c r="F9" s="40" t="s">
        <v>225</v>
      </c>
      <c r="G9" s="41" t="s">
        <v>190</v>
      </c>
      <c r="H9" s="42">
        <v>46087.0</v>
      </c>
      <c r="I9" s="41" t="s">
        <v>201</v>
      </c>
      <c r="J9" s="41" t="s">
        <v>226</v>
      </c>
      <c r="K9" s="43" t="s">
        <v>202</v>
      </c>
      <c r="L9" s="41" t="s">
        <v>195</v>
      </c>
      <c r="M9" s="41">
        <v>2.0</v>
      </c>
      <c r="N9" s="41" t="s">
        <v>193</v>
      </c>
      <c r="O9" s="30" t="s">
        <v>194</v>
      </c>
      <c r="P9" s="30">
        <v>160.0</v>
      </c>
      <c r="Q9" s="30" t="s">
        <v>195</v>
      </c>
      <c r="R9" s="30" t="s">
        <v>196</v>
      </c>
      <c r="S9" s="30" t="s">
        <v>197</v>
      </c>
      <c r="T9" s="30" t="s">
        <v>227</v>
      </c>
      <c r="U9" s="30">
        <v>1.5725151E7</v>
      </c>
    </row>
    <row r="10">
      <c r="A10" s="30">
        <v>51.423713</v>
      </c>
      <c r="B10" s="30">
        <v>25.147197</v>
      </c>
      <c r="C10" s="30" t="str">
        <f t="shared" si="1"/>
        <v>51.423713 25.147197</v>
      </c>
      <c r="D10" s="30">
        <v>81.0</v>
      </c>
      <c r="E10" s="39" t="s">
        <v>228</v>
      </c>
      <c r="F10" s="40" t="s">
        <v>229</v>
      </c>
      <c r="G10" s="41" t="s">
        <v>190</v>
      </c>
      <c r="H10" s="42">
        <v>46084.0</v>
      </c>
      <c r="I10" s="41">
        <v>1376735.0</v>
      </c>
      <c r="J10" s="41" t="s">
        <v>230</v>
      </c>
      <c r="K10" s="37" t="s">
        <v>202</v>
      </c>
      <c r="L10" s="41" t="s">
        <v>195</v>
      </c>
      <c r="M10" s="41">
        <v>3.0</v>
      </c>
      <c r="N10" s="41" t="s">
        <v>193</v>
      </c>
      <c r="O10" s="30" t="s">
        <v>194</v>
      </c>
      <c r="P10" s="30">
        <v>160.0</v>
      </c>
      <c r="Q10" s="30" t="s">
        <v>195</v>
      </c>
      <c r="R10" s="30" t="s">
        <v>196</v>
      </c>
      <c r="S10" s="30" t="s">
        <v>197</v>
      </c>
      <c r="T10" s="30" t="s">
        <v>231</v>
      </c>
      <c r="U10" s="30">
        <v>1.5725152E7</v>
      </c>
    </row>
    <row r="11">
      <c r="A11" s="30">
        <v>51.414039</v>
      </c>
      <c r="B11" s="30">
        <v>25.142917</v>
      </c>
      <c r="C11" s="30" t="str">
        <f t="shared" si="1"/>
        <v>51.414039 25.142917</v>
      </c>
      <c r="D11" s="30">
        <v>81.0</v>
      </c>
      <c r="E11" s="36" t="s">
        <v>232</v>
      </c>
      <c r="F11" s="32" t="s">
        <v>233</v>
      </c>
      <c r="G11" s="30" t="s">
        <v>190</v>
      </c>
      <c r="H11" s="33">
        <v>46097.0</v>
      </c>
      <c r="I11" s="30" t="s">
        <v>201</v>
      </c>
      <c r="J11" s="30" t="s">
        <v>234</v>
      </c>
      <c r="K11" s="37" t="s">
        <v>202</v>
      </c>
      <c r="L11" s="35"/>
      <c r="M11" s="30">
        <v>3.0</v>
      </c>
      <c r="N11" s="30" t="s">
        <v>220</v>
      </c>
      <c r="O11" s="30" t="s">
        <v>194</v>
      </c>
      <c r="P11" s="30">
        <v>160.0</v>
      </c>
      <c r="Q11" s="30" t="s">
        <v>195</v>
      </c>
      <c r="R11" s="30" t="s">
        <v>196</v>
      </c>
      <c r="S11" s="30" t="s">
        <v>197</v>
      </c>
      <c r="T11" s="30" t="s">
        <v>235</v>
      </c>
      <c r="U11" s="30">
        <v>1.5725153E7</v>
      </c>
    </row>
    <row r="12">
      <c r="A12" s="30">
        <v>51.416448</v>
      </c>
      <c r="B12" s="30">
        <v>25.146288</v>
      </c>
      <c r="C12" s="30" t="str">
        <f t="shared" si="1"/>
        <v>51.416448 25.146288</v>
      </c>
      <c r="D12" s="30">
        <v>81.0</v>
      </c>
      <c r="E12" s="39" t="s">
        <v>236</v>
      </c>
      <c r="F12" s="40" t="s">
        <v>201</v>
      </c>
      <c r="G12" s="41" t="s">
        <v>190</v>
      </c>
      <c r="H12" s="42">
        <v>46087.0</v>
      </c>
      <c r="I12" s="41">
        <v>1376737.0</v>
      </c>
      <c r="J12" s="41" t="s">
        <v>210</v>
      </c>
      <c r="K12" s="43" t="s">
        <v>202</v>
      </c>
      <c r="L12" s="41" t="s">
        <v>195</v>
      </c>
      <c r="M12" s="41">
        <v>3.0</v>
      </c>
      <c r="N12" s="41" t="s">
        <v>193</v>
      </c>
      <c r="O12" s="30" t="s">
        <v>194</v>
      </c>
      <c r="P12" s="30">
        <v>160.0</v>
      </c>
      <c r="Q12" s="30" t="s">
        <v>195</v>
      </c>
      <c r="R12" s="30" t="s">
        <v>196</v>
      </c>
      <c r="S12" s="30" t="s">
        <v>197</v>
      </c>
      <c r="T12" s="30" t="s">
        <v>237</v>
      </c>
      <c r="U12" s="30">
        <v>1.5725154E7</v>
      </c>
    </row>
    <row r="13">
      <c r="A13" s="30">
        <v>51.416976</v>
      </c>
      <c r="B13" s="30">
        <v>25.1481</v>
      </c>
      <c r="C13" s="30" t="str">
        <f t="shared" si="1"/>
        <v>51.416976 25.1481</v>
      </c>
      <c r="D13" s="30">
        <v>81.0</v>
      </c>
      <c r="E13" s="36" t="s">
        <v>238</v>
      </c>
      <c r="F13" s="32" t="s">
        <v>239</v>
      </c>
      <c r="G13" s="30" t="s">
        <v>190</v>
      </c>
      <c r="H13" s="33">
        <v>46089.0</v>
      </c>
      <c r="I13" s="30">
        <v>1390965.0</v>
      </c>
      <c r="J13" s="30" t="s">
        <v>201</v>
      </c>
      <c r="K13" s="43" t="s">
        <v>202</v>
      </c>
      <c r="L13" s="35"/>
      <c r="M13" s="30">
        <v>3.0</v>
      </c>
      <c r="N13" s="30" t="s">
        <v>193</v>
      </c>
      <c r="O13" s="30" t="s">
        <v>194</v>
      </c>
      <c r="P13" s="30">
        <v>160.0</v>
      </c>
      <c r="Q13" s="30" t="s">
        <v>195</v>
      </c>
      <c r="R13" s="30" t="s">
        <v>196</v>
      </c>
      <c r="S13" s="30" t="s">
        <v>197</v>
      </c>
      <c r="T13" s="30" t="s">
        <v>240</v>
      </c>
      <c r="U13" s="30">
        <v>1.5725155E7</v>
      </c>
    </row>
    <row r="14">
      <c r="A14" s="30">
        <v>51.419291</v>
      </c>
      <c r="B14" s="30">
        <v>25.144655</v>
      </c>
      <c r="C14" s="30" t="str">
        <f t="shared" si="1"/>
        <v>51.419291 25.144655</v>
      </c>
      <c r="D14" s="30">
        <v>81.0</v>
      </c>
      <c r="E14" s="36" t="s">
        <v>241</v>
      </c>
      <c r="F14" s="32" t="s">
        <v>242</v>
      </c>
      <c r="G14" s="30" t="s">
        <v>190</v>
      </c>
      <c r="H14" s="33">
        <v>46084.0</v>
      </c>
      <c r="I14" s="30">
        <v>1390496.0</v>
      </c>
      <c r="J14" s="30" t="s">
        <v>201</v>
      </c>
      <c r="K14" s="43" t="s">
        <v>202</v>
      </c>
      <c r="L14" s="30" t="s">
        <v>195</v>
      </c>
      <c r="M14" s="30">
        <v>3.0</v>
      </c>
      <c r="N14" s="30" t="s">
        <v>193</v>
      </c>
      <c r="O14" s="30" t="s">
        <v>194</v>
      </c>
      <c r="P14" s="30">
        <v>160.0</v>
      </c>
      <c r="Q14" s="30" t="s">
        <v>221</v>
      </c>
      <c r="R14" s="30" t="s">
        <v>196</v>
      </c>
      <c r="S14" s="30" t="s">
        <v>197</v>
      </c>
      <c r="T14" s="30" t="s">
        <v>243</v>
      </c>
      <c r="U14" s="30">
        <v>1.5725156E7</v>
      </c>
    </row>
    <row r="15">
      <c r="A15" s="30">
        <v>51.485952</v>
      </c>
      <c r="B15" s="30">
        <v>25.169957</v>
      </c>
      <c r="C15" s="30" t="str">
        <f t="shared" si="1"/>
        <v>51.485952 25.169957</v>
      </c>
      <c r="D15" s="30">
        <v>91.0</v>
      </c>
      <c r="E15" s="36" t="s">
        <v>244</v>
      </c>
      <c r="F15" s="32" t="s">
        <v>245</v>
      </c>
      <c r="G15" s="30" t="s">
        <v>190</v>
      </c>
      <c r="H15" s="33">
        <v>46086.0</v>
      </c>
      <c r="I15" s="30">
        <v>1390961.0</v>
      </c>
      <c r="J15" s="30" t="s">
        <v>246</v>
      </c>
      <c r="K15" s="43" t="s">
        <v>202</v>
      </c>
      <c r="L15" s="30" t="s">
        <v>247</v>
      </c>
      <c r="M15" s="30">
        <v>3.0</v>
      </c>
      <c r="N15" s="30" t="s">
        <v>216</v>
      </c>
      <c r="O15" s="30" t="s">
        <v>194</v>
      </c>
      <c r="P15" s="30">
        <v>160.0</v>
      </c>
      <c r="Q15" s="30" t="s">
        <v>195</v>
      </c>
      <c r="R15" s="30" t="s">
        <v>196</v>
      </c>
      <c r="S15" s="30" t="s">
        <v>197</v>
      </c>
      <c r="T15" s="30" t="s">
        <v>248</v>
      </c>
      <c r="U15" s="30">
        <v>1.5717598E7</v>
      </c>
    </row>
    <row r="16">
      <c r="A16" s="30">
        <v>51.344516</v>
      </c>
      <c r="B16" s="30">
        <v>25.324812</v>
      </c>
      <c r="C16" s="30" t="str">
        <f t="shared" si="1"/>
        <v>51.344516 25.324812</v>
      </c>
      <c r="D16" s="30">
        <v>51.0</v>
      </c>
      <c r="E16" s="36" t="s">
        <v>249</v>
      </c>
      <c r="F16" s="32" t="s">
        <v>250</v>
      </c>
      <c r="G16" s="30" t="s">
        <v>190</v>
      </c>
      <c r="H16" s="33">
        <v>46088.0</v>
      </c>
      <c r="I16" s="30">
        <v>1257811.0</v>
      </c>
      <c r="J16" s="30" t="s">
        <v>251</v>
      </c>
      <c r="K16" s="34" t="s">
        <v>252</v>
      </c>
      <c r="L16" s="35"/>
      <c r="M16" s="30">
        <v>3.0</v>
      </c>
      <c r="N16" s="30" t="s">
        <v>193</v>
      </c>
      <c r="O16" s="30" t="s">
        <v>194</v>
      </c>
      <c r="P16" s="30">
        <v>160.0</v>
      </c>
      <c r="Q16" s="30" t="s">
        <v>253</v>
      </c>
      <c r="R16" s="30" t="s">
        <v>254</v>
      </c>
      <c r="S16" s="30" t="s">
        <v>197</v>
      </c>
      <c r="T16" s="30" t="s">
        <v>255</v>
      </c>
      <c r="U16" s="30">
        <v>1.6458013E7</v>
      </c>
    </row>
    <row r="17">
      <c r="A17" s="30">
        <v>51.346612</v>
      </c>
      <c r="B17" s="30">
        <v>25.324747</v>
      </c>
      <c r="C17" s="30" t="str">
        <f t="shared" si="1"/>
        <v>51.346612 25.324747</v>
      </c>
      <c r="D17" s="30">
        <v>51.0</v>
      </c>
      <c r="E17" s="36" t="s">
        <v>256</v>
      </c>
      <c r="F17" s="32" t="s">
        <v>257</v>
      </c>
      <c r="G17" s="30" t="s">
        <v>190</v>
      </c>
      <c r="H17" s="33">
        <v>46103.0</v>
      </c>
      <c r="I17" s="30">
        <v>121138.0</v>
      </c>
      <c r="J17" s="30" t="s">
        <v>258</v>
      </c>
      <c r="K17" s="34" t="s">
        <v>192</v>
      </c>
      <c r="L17" s="35"/>
      <c r="M17" s="30">
        <v>3.0</v>
      </c>
      <c r="N17" s="30" t="s">
        <v>193</v>
      </c>
      <c r="O17" s="30" t="s">
        <v>194</v>
      </c>
      <c r="P17" s="30">
        <v>160.0</v>
      </c>
      <c r="Q17" s="30" t="s">
        <v>221</v>
      </c>
      <c r="R17" s="30" t="s">
        <v>222</v>
      </c>
      <c r="S17" s="30" t="s">
        <v>197</v>
      </c>
      <c r="T17" s="30" t="s">
        <v>259</v>
      </c>
      <c r="U17" s="30">
        <v>1.6458014E7</v>
      </c>
    </row>
    <row r="18">
      <c r="A18" s="30">
        <v>51.358676</v>
      </c>
      <c r="B18" s="30">
        <v>25.317458</v>
      </c>
      <c r="C18" s="30" t="str">
        <f t="shared" si="1"/>
        <v>51.358676 25.317458</v>
      </c>
      <c r="D18" s="30">
        <v>53.0</v>
      </c>
      <c r="E18" s="39" t="s">
        <v>260</v>
      </c>
      <c r="F18" s="40" t="s">
        <v>261</v>
      </c>
      <c r="G18" s="30" t="s">
        <v>190</v>
      </c>
      <c r="H18" s="33">
        <v>46097.0</v>
      </c>
      <c r="I18" s="30">
        <v>1263839.0</v>
      </c>
      <c r="J18" s="30" t="s">
        <v>201</v>
      </c>
      <c r="K18" s="37" t="s">
        <v>202</v>
      </c>
      <c r="L18" s="35"/>
      <c r="M18" s="30">
        <v>3.0</v>
      </c>
      <c r="N18" s="30" t="s">
        <v>262</v>
      </c>
      <c r="O18" s="30" t="s">
        <v>194</v>
      </c>
      <c r="P18" s="30">
        <v>160.0</v>
      </c>
      <c r="Q18" s="30" t="s">
        <v>195</v>
      </c>
      <c r="R18" s="30" t="s">
        <v>196</v>
      </c>
      <c r="S18" s="30" t="s">
        <v>197</v>
      </c>
      <c r="T18" s="30" t="s">
        <v>263</v>
      </c>
      <c r="U18" s="30">
        <v>1.6458028E7</v>
      </c>
    </row>
    <row r="19">
      <c r="A19" s="30">
        <v>51.558</v>
      </c>
      <c r="B19" s="30">
        <v>25.226469</v>
      </c>
      <c r="C19" s="30" t="str">
        <f t="shared" si="1"/>
        <v>51.558 25.226469</v>
      </c>
      <c r="D19" s="30">
        <v>50.0</v>
      </c>
      <c r="E19" s="39" t="s">
        <v>264</v>
      </c>
      <c r="F19" s="40" t="s">
        <v>201</v>
      </c>
      <c r="G19" s="41" t="s">
        <v>190</v>
      </c>
      <c r="H19" s="42">
        <v>46081.0</v>
      </c>
      <c r="I19" s="41">
        <v>1181333.0</v>
      </c>
      <c r="J19" s="30" t="s">
        <v>201</v>
      </c>
      <c r="K19" s="37" t="s">
        <v>202</v>
      </c>
      <c r="L19" s="41" t="s">
        <v>195</v>
      </c>
      <c r="M19" s="41">
        <v>3.0</v>
      </c>
      <c r="N19" s="30" t="s">
        <v>220</v>
      </c>
      <c r="O19" s="30" t="s">
        <v>194</v>
      </c>
      <c r="P19" s="30">
        <v>160.0</v>
      </c>
      <c r="Q19" s="30" t="s">
        <v>195</v>
      </c>
      <c r="R19" s="30" t="s">
        <v>196</v>
      </c>
      <c r="S19" s="30" t="s">
        <v>197</v>
      </c>
      <c r="T19" s="30" t="s">
        <v>265</v>
      </c>
      <c r="U19" s="30">
        <v>1.6487688E7</v>
      </c>
    </row>
    <row r="20">
      <c r="A20" s="30">
        <v>51.562798</v>
      </c>
      <c r="B20" s="30">
        <v>25.228801</v>
      </c>
      <c r="C20" s="30" t="str">
        <f t="shared" si="1"/>
        <v>51.562798 25.228801</v>
      </c>
      <c r="D20" s="30">
        <v>47.0</v>
      </c>
      <c r="E20" s="39" t="s">
        <v>266</v>
      </c>
      <c r="F20" s="40" t="s">
        <v>267</v>
      </c>
      <c r="G20" s="41" t="s">
        <v>190</v>
      </c>
      <c r="H20" s="42">
        <v>46091.0</v>
      </c>
      <c r="I20" s="41" t="s">
        <v>201</v>
      </c>
      <c r="J20" s="30" t="s">
        <v>201</v>
      </c>
      <c r="K20" s="37" t="s">
        <v>202</v>
      </c>
      <c r="L20" s="41" t="s">
        <v>195</v>
      </c>
      <c r="M20" s="41">
        <v>3.0</v>
      </c>
      <c r="N20" s="30" t="s">
        <v>220</v>
      </c>
      <c r="O20" s="30" t="s">
        <v>194</v>
      </c>
      <c r="P20" s="30">
        <v>160.0</v>
      </c>
      <c r="Q20" s="30" t="s">
        <v>195</v>
      </c>
      <c r="R20" s="30" t="s">
        <v>196</v>
      </c>
      <c r="S20" s="30" t="s">
        <v>197</v>
      </c>
      <c r="T20" s="30" t="s">
        <v>268</v>
      </c>
      <c r="U20" s="30">
        <v>1.6487689E7</v>
      </c>
    </row>
    <row r="21">
      <c r="A21" s="30">
        <v>51.468309</v>
      </c>
      <c r="B21" s="30">
        <v>25.165609</v>
      </c>
      <c r="C21" s="30" t="str">
        <f t="shared" si="1"/>
        <v>51.468309 25.165609</v>
      </c>
      <c r="D21" s="30">
        <v>57.0</v>
      </c>
      <c r="E21" s="36" t="s">
        <v>269</v>
      </c>
      <c r="F21" s="32" t="s">
        <v>270</v>
      </c>
      <c r="G21" s="30" t="s">
        <v>190</v>
      </c>
      <c r="H21" s="33">
        <v>46090.0</v>
      </c>
      <c r="I21" s="30">
        <v>1376618.0</v>
      </c>
      <c r="J21" s="30" t="s">
        <v>271</v>
      </c>
      <c r="K21" s="34" t="s">
        <v>272</v>
      </c>
      <c r="L21" s="30" t="s">
        <v>273</v>
      </c>
      <c r="M21" s="30">
        <v>3.0</v>
      </c>
      <c r="N21" s="30" t="s">
        <v>216</v>
      </c>
      <c r="O21" s="30" t="s">
        <v>194</v>
      </c>
      <c r="P21" s="30">
        <v>160.0</v>
      </c>
      <c r="Q21" s="30" t="s">
        <v>195</v>
      </c>
      <c r="R21" s="30" t="s">
        <v>196</v>
      </c>
      <c r="S21" s="30" t="s">
        <v>197</v>
      </c>
      <c r="T21" s="30" t="s">
        <v>274</v>
      </c>
      <c r="U21" s="30">
        <v>1.5717614E7</v>
      </c>
    </row>
    <row r="22">
      <c r="A22" s="30">
        <v>51.470067</v>
      </c>
      <c r="B22" s="30">
        <v>25.170475</v>
      </c>
      <c r="C22" s="30" t="str">
        <f t="shared" si="1"/>
        <v>51.470067 25.170475</v>
      </c>
      <c r="D22" s="30">
        <v>57.0</v>
      </c>
      <c r="E22" s="36" t="s">
        <v>275</v>
      </c>
      <c r="F22" s="32" t="s">
        <v>276</v>
      </c>
      <c r="G22" s="30" t="s">
        <v>190</v>
      </c>
      <c r="H22" s="33">
        <v>46088.0</v>
      </c>
      <c r="I22" s="30" t="s">
        <v>201</v>
      </c>
      <c r="J22" s="30" t="s">
        <v>277</v>
      </c>
      <c r="K22" s="34" t="s">
        <v>272</v>
      </c>
      <c r="L22" s="30" t="s">
        <v>247</v>
      </c>
      <c r="M22" s="30">
        <v>3.0</v>
      </c>
      <c r="N22" s="30" t="s">
        <v>216</v>
      </c>
      <c r="O22" s="30" t="s">
        <v>194</v>
      </c>
      <c r="P22" s="30">
        <v>160.0</v>
      </c>
      <c r="Q22" s="30" t="s">
        <v>278</v>
      </c>
      <c r="R22" s="30" t="s">
        <v>196</v>
      </c>
      <c r="S22" s="30" t="s">
        <v>197</v>
      </c>
      <c r="T22" s="30" t="s">
        <v>279</v>
      </c>
      <c r="U22" s="30">
        <v>1.5717615E7</v>
      </c>
    </row>
    <row r="23">
      <c r="A23" s="30">
        <v>51.416771</v>
      </c>
      <c r="B23" s="30">
        <v>25.142396</v>
      </c>
      <c r="C23" s="30" t="str">
        <f t="shared" si="1"/>
        <v>51.416771 25.142396</v>
      </c>
      <c r="D23" s="30">
        <v>91.0</v>
      </c>
      <c r="E23" s="39" t="s">
        <v>280</v>
      </c>
      <c r="F23" s="40" t="s">
        <v>201</v>
      </c>
      <c r="G23" s="41" t="s">
        <v>190</v>
      </c>
      <c r="H23" s="44">
        <v>46084.0</v>
      </c>
      <c r="I23" s="41">
        <v>1390497.0</v>
      </c>
      <c r="J23" s="41" t="s">
        <v>210</v>
      </c>
      <c r="K23" s="43" t="s">
        <v>202</v>
      </c>
      <c r="L23" s="41" t="s">
        <v>195</v>
      </c>
      <c r="M23" s="41">
        <v>2.0</v>
      </c>
      <c r="N23" s="30" t="s">
        <v>193</v>
      </c>
      <c r="O23" s="30" t="s">
        <v>194</v>
      </c>
      <c r="P23" s="30">
        <v>160.0</v>
      </c>
      <c r="Q23" s="30" t="s">
        <v>195</v>
      </c>
      <c r="R23" s="30" t="s">
        <v>196</v>
      </c>
      <c r="S23" s="30" t="s">
        <v>197</v>
      </c>
      <c r="T23" s="30" t="s">
        <v>281</v>
      </c>
      <c r="U23" s="30">
        <v>1.5717616E7</v>
      </c>
    </row>
    <row r="24">
      <c r="A24" s="30">
        <v>51.492833</v>
      </c>
      <c r="B24" s="30">
        <v>25.170045</v>
      </c>
      <c r="C24" s="30" t="str">
        <f t="shared" si="1"/>
        <v>51.492833 25.170045</v>
      </c>
      <c r="D24" s="30">
        <v>91.0</v>
      </c>
      <c r="E24" s="39" t="s">
        <v>282</v>
      </c>
      <c r="F24" s="40" t="s">
        <v>201</v>
      </c>
      <c r="G24" s="41" t="s">
        <v>190</v>
      </c>
      <c r="H24" s="42">
        <v>46077.0</v>
      </c>
      <c r="I24" s="41">
        <v>1376716.0</v>
      </c>
      <c r="J24" s="41" t="s">
        <v>210</v>
      </c>
      <c r="K24" s="37" t="s">
        <v>202</v>
      </c>
      <c r="L24" s="41" t="s">
        <v>195</v>
      </c>
      <c r="M24" s="41">
        <v>3.0</v>
      </c>
      <c r="N24" s="41" t="s">
        <v>193</v>
      </c>
      <c r="O24" s="30" t="s">
        <v>194</v>
      </c>
      <c r="P24" s="30">
        <v>160.0</v>
      </c>
      <c r="Q24" s="30" t="s">
        <v>195</v>
      </c>
      <c r="R24" s="30" t="s">
        <v>196</v>
      </c>
      <c r="S24" s="30" t="s">
        <v>197</v>
      </c>
      <c r="T24" s="30" t="s">
        <v>283</v>
      </c>
      <c r="U24" s="30">
        <v>1.5717617E7</v>
      </c>
    </row>
    <row r="25">
      <c r="A25" s="30">
        <v>51.494257</v>
      </c>
      <c r="B25" s="30">
        <v>25.174116</v>
      </c>
      <c r="C25" s="30" t="str">
        <f t="shared" si="1"/>
        <v>51.494257 25.174116</v>
      </c>
      <c r="D25" s="30">
        <v>91.0</v>
      </c>
      <c r="E25" s="36" t="s">
        <v>284</v>
      </c>
      <c r="F25" s="32" t="s">
        <v>285</v>
      </c>
      <c r="G25" s="30" t="s">
        <v>190</v>
      </c>
      <c r="H25" s="33">
        <v>46098.0</v>
      </c>
      <c r="I25" s="30" t="s">
        <v>201</v>
      </c>
      <c r="J25" s="30" t="s">
        <v>201</v>
      </c>
      <c r="K25" s="37" t="s">
        <v>202</v>
      </c>
      <c r="L25" s="35"/>
      <c r="M25" s="30">
        <v>3.0</v>
      </c>
      <c r="N25" s="30" t="s">
        <v>220</v>
      </c>
      <c r="O25" s="30" t="s">
        <v>194</v>
      </c>
      <c r="P25" s="30">
        <v>160.0</v>
      </c>
      <c r="Q25" s="30" t="s">
        <v>195</v>
      </c>
      <c r="R25" s="30" t="s">
        <v>196</v>
      </c>
      <c r="S25" s="30" t="s">
        <v>197</v>
      </c>
      <c r="T25" s="30" t="s">
        <v>286</v>
      </c>
      <c r="U25" s="30">
        <v>1.5717618E7</v>
      </c>
    </row>
    <row r="26">
      <c r="A26" s="30">
        <v>51.427274</v>
      </c>
      <c r="B26" s="30">
        <v>25.146783</v>
      </c>
      <c r="C26" s="30" t="str">
        <f t="shared" si="1"/>
        <v>51.427274 25.146783</v>
      </c>
      <c r="D26" s="30">
        <v>91.0</v>
      </c>
      <c r="E26" s="36" t="s">
        <v>287</v>
      </c>
      <c r="F26" s="40" t="s">
        <v>201</v>
      </c>
      <c r="G26" s="30" t="s">
        <v>190</v>
      </c>
      <c r="H26" s="33">
        <v>46072.0</v>
      </c>
      <c r="I26" s="30" t="s">
        <v>201</v>
      </c>
      <c r="J26" s="41" t="s">
        <v>210</v>
      </c>
      <c r="K26" s="37" t="s">
        <v>202</v>
      </c>
      <c r="L26" s="30" t="s">
        <v>195</v>
      </c>
      <c r="M26" s="30">
        <v>3.0</v>
      </c>
      <c r="N26" s="30" t="s">
        <v>193</v>
      </c>
      <c r="O26" s="30" t="s">
        <v>194</v>
      </c>
      <c r="P26" s="30">
        <v>160.0</v>
      </c>
      <c r="Q26" s="30" t="s">
        <v>195</v>
      </c>
      <c r="R26" s="30" t="s">
        <v>196</v>
      </c>
      <c r="S26" s="30" t="s">
        <v>197</v>
      </c>
      <c r="T26" s="30" t="s">
        <v>288</v>
      </c>
      <c r="U26" s="30">
        <v>1.571762E7</v>
      </c>
    </row>
    <row r="27">
      <c r="A27" s="30">
        <v>51.441019</v>
      </c>
      <c r="B27" s="30">
        <v>25.152775</v>
      </c>
      <c r="C27" s="30" t="str">
        <f t="shared" si="1"/>
        <v>51.441019 25.152775</v>
      </c>
      <c r="D27" s="30">
        <v>91.0</v>
      </c>
      <c r="E27" s="36" t="s">
        <v>289</v>
      </c>
      <c r="F27" s="32" t="s">
        <v>290</v>
      </c>
      <c r="G27" s="30" t="s">
        <v>190</v>
      </c>
      <c r="H27" s="33">
        <v>46084.0</v>
      </c>
      <c r="I27" s="30" t="s">
        <v>201</v>
      </c>
      <c r="J27" s="41" t="s">
        <v>210</v>
      </c>
      <c r="K27" s="34" t="s">
        <v>291</v>
      </c>
      <c r="L27" s="30" t="s">
        <v>195</v>
      </c>
      <c r="M27" s="30">
        <v>3.0</v>
      </c>
      <c r="N27" s="30" t="s">
        <v>193</v>
      </c>
      <c r="O27" s="30" t="s">
        <v>194</v>
      </c>
      <c r="P27" s="30">
        <v>160.0</v>
      </c>
      <c r="Q27" s="30" t="s">
        <v>221</v>
      </c>
      <c r="R27" s="30" t="s">
        <v>222</v>
      </c>
      <c r="S27" s="30" t="s">
        <v>197</v>
      </c>
      <c r="T27" s="30" t="s">
        <v>292</v>
      </c>
      <c r="U27" s="30">
        <v>1.5717621E7</v>
      </c>
    </row>
    <row r="28">
      <c r="A28" s="30">
        <v>51.566582</v>
      </c>
      <c r="B28" s="30">
        <v>25.229503</v>
      </c>
      <c r="C28" s="30" t="str">
        <f t="shared" si="1"/>
        <v>51.566582 25.229503</v>
      </c>
      <c r="D28" s="30">
        <v>50.0</v>
      </c>
      <c r="E28" s="39" t="s">
        <v>293</v>
      </c>
      <c r="F28" s="40" t="s">
        <v>294</v>
      </c>
      <c r="G28" s="41" t="s">
        <v>190</v>
      </c>
      <c r="H28" s="42">
        <v>46084.0</v>
      </c>
      <c r="I28" s="41" t="s">
        <v>201</v>
      </c>
      <c r="J28" s="30" t="s">
        <v>201</v>
      </c>
      <c r="K28" s="37" t="s">
        <v>202</v>
      </c>
      <c r="L28" s="41" t="s">
        <v>195</v>
      </c>
      <c r="M28" s="41">
        <v>3.0</v>
      </c>
      <c r="N28" s="30" t="s">
        <v>220</v>
      </c>
      <c r="O28" s="30" t="s">
        <v>194</v>
      </c>
      <c r="P28" s="30">
        <v>160.0</v>
      </c>
      <c r="Q28" s="30" t="s">
        <v>221</v>
      </c>
      <c r="R28" s="30" t="s">
        <v>222</v>
      </c>
      <c r="S28" s="30" t="s">
        <v>197</v>
      </c>
      <c r="T28" s="30" t="s">
        <v>295</v>
      </c>
      <c r="U28" s="30">
        <v>1.648769E7</v>
      </c>
    </row>
    <row r="29">
      <c r="A29" s="30">
        <v>51.570303</v>
      </c>
      <c r="B29" s="30">
        <v>25.230222</v>
      </c>
      <c r="C29" s="30" t="str">
        <f t="shared" si="1"/>
        <v>51.570303 25.230222</v>
      </c>
      <c r="D29" s="30">
        <v>50.0</v>
      </c>
      <c r="E29" s="39" t="s">
        <v>289</v>
      </c>
      <c r="F29" s="40" t="s">
        <v>201</v>
      </c>
      <c r="G29" s="41" t="s">
        <v>190</v>
      </c>
      <c r="H29" s="42">
        <v>46075.0</v>
      </c>
      <c r="I29" s="41">
        <v>1392801.0</v>
      </c>
      <c r="J29" s="30" t="s">
        <v>201</v>
      </c>
      <c r="K29" s="37" t="s">
        <v>296</v>
      </c>
      <c r="L29" s="41" t="s">
        <v>297</v>
      </c>
      <c r="M29" s="41">
        <v>3.0</v>
      </c>
      <c r="N29" s="30" t="s">
        <v>220</v>
      </c>
      <c r="O29" s="30" t="s">
        <v>194</v>
      </c>
      <c r="P29" s="30">
        <v>160.0</v>
      </c>
      <c r="Q29" s="30" t="s">
        <v>195</v>
      </c>
      <c r="R29" s="30" t="s">
        <v>196</v>
      </c>
      <c r="S29" s="30" t="s">
        <v>197</v>
      </c>
      <c r="T29" s="30" t="s">
        <v>298</v>
      </c>
      <c r="U29" s="30">
        <v>1.6487691E7</v>
      </c>
    </row>
    <row r="30">
      <c r="A30" s="30">
        <v>51.386284</v>
      </c>
      <c r="B30" s="30">
        <v>25.312505</v>
      </c>
      <c r="C30" s="30" t="str">
        <f t="shared" si="1"/>
        <v>51.386284 25.312505</v>
      </c>
      <c r="D30" s="30">
        <v>51.0</v>
      </c>
      <c r="E30" s="36" t="s">
        <v>299</v>
      </c>
      <c r="F30" s="32" t="s">
        <v>300</v>
      </c>
      <c r="G30" s="30" t="s">
        <v>190</v>
      </c>
      <c r="H30" s="33">
        <v>46088.0</v>
      </c>
      <c r="I30" s="30" t="s">
        <v>201</v>
      </c>
      <c r="J30" s="30" t="s">
        <v>301</v>
      </c>
      <c r="K30" s="34" t="s">
        <v>252</v>
      </c>
      <c r="L30" s="35"/>
      <c r="M30" s="30">
        <v>3.0</v>
      </c>
      <c r="N30" s="30" t="s">
        <v>193</v>
      </c>
      <c r="O30" s="30" t="s">
        <v>194</v>
      </c>
      <c r="P30" s="30">
        <v>160.0</v>
      </c>
      <c r="Q30" s="30" t="s">
        <v>195</v>
      </c>
      <c r="R30" s="30" t="s">
        <v>196</v>
      </c>
      <c r="S30" s="30" t="s">
        <v>197</v>
      </c>
      <c r="T30" s="30" t="s">
        <v>302</v>
      </c>
      <c r="U30" s="30">
        <v>1.6487692E7</v>
      </c>
    </row>
    <row r="31">
      <c r="A31" s="45">
        <v>51.38368</v>
      </c>
      <c r="B31" s="45">
        <v>25.311931</v>
      </c>
      <c r="C31" s="30" t="str">
        <f t="shared" si="1"/>
        <v>51.38368 25.311931</v>
      </c>
      <c r="D31" s="45">
        <v>53.0</v>
      </c>
      <c r="E31" s="46" t="s">
        <v>201</v>
      </c>
      <c r="F31" s="47" t="s">
        <v>201</v>
      </c>
      <c r="G31" s="45" t="s">
        <v>303</v>
      </c>
      <c r="H31" s="48">
        <v>46097.0</v>
      </c>
      <c r="I31" s="45" t="s">
        <v>201</v>
      </c>
      <c r="J31" s="30" t="s">
        <v>201</v>
      </c>
      <c r="K31" s="34" t="s">
        <v>201</v>
      </c>
      <c r="L31" s="35"/>
      <c r="M31" s="45" t="s">
        <v>201</v>
      </c>
      <c r="N31" s="45" t="s">
        <v>304</v>
      </c>
      <c r="O31" s="45" t="s">
        <v>201</v>
      </c>
      <c r="P31" s="45" t="s">
        <v>201</v>
      </c>
      <c r="Q31" s="45" t="s">
        <v>201</v>
      </c>
      <c r="R31" s="45" t="s">
        <v>201</v>
      </c>
      <c r="S31" s="45" t="s">
        <v>201</v>
      </c>
      <c r="T31" s="45" t="s">
        <v>305</v>
      </c>
      <c r="U31" s="45">
        <v>1.6487693E7</v>
      </c>
    </row>
    <row r="32">
      <c r="A32" s="30">
        <v>51.379019</v>
      </c>
      <c r="B32" s="30">
        <v>25.31271</v>
      </c>
      <c r="C32" s="30" t="str">
        <f t="shared" si="1"/>
        <v>51.379019 25.31271</v>
      </c>
      <c r="D32" s="30">
        <v>53.0</v>
      </c>
      <c r="E32" s="36" t="s">
        <v>306</v>
      </c>
      <c r="F32" s="32" t="s">
        <v>307</v>
      </c>
      <c r="G32" s="30" t="s">
        <v>190</v>
      </c>
      <c r="H32" s="33">
        <v>46103.0</v>
      </c>
      <c r="I32" s="30">
        <v>1392799.0</v>
      </c>
      <c r="J32" s="30" t="s">
        <v>308</v>
      </c>
      <c r="K32" s="34" t="s">
        <v>192</v>
      </c>
      <c r="L32" s="35"/>
      <c r="M32" s="30">
        <v>3.0</v>
      </c>
      <c r="N32" s="30" t="s">
        <v>193</v>
      </c>
      <c r="O32" s="30" t="s">
        <v>194</v>
      </c>
      <c r="P32" s="30">
        <v>160.0</v>
      </c>
      <c r="Q32" s="30" t="s">
        <v>195</v>
      </c>
      <c r="R32" s="30" t="s">
        <v>196</v>
      </c>
      <c r="S32" s="30" t="s">
        <v>197</v>
      </c>
      <c r="T32" s="30" t="s">
        <v>309</v>
      </c>
      <c r="U32" s="30">
        <v>1.6487694E7</v>
      </c>
    </row>
    <row r="33">
      <c r="A33" s="30">
        <v>51.366198</v>
      </c>
      <c r="B33" s="30">
        <v>25.315193</v>
      </c>
      <c r="C33" s="30" t="str">
        <f t="shared" si="1"/>
        <v>51.366198 25.315193</v>
      </c>
      <c r="D33" s="30">
        <v>53.0</v>
      </c>
      <c r="E33" s="39" t="s">
        <v>310</v>
      </c>
      <c r="F33" s="32" t="s">
        <v>311</v>
      </c>
      <c r="G33" s="30" t="s">
        <v>190</v>
      </c>
      <c r="H33" s="33">
        <v>46097.0</v>
      </c>
      <c r="I33" s="30" t="s">
        <v>201</v>
      </c>
      <c r="J33" s="30" t="s">
        <v>201</v>
      </c>
      <c r="K33" s="37" t="s">
        <v>202</v>
      </c>
      <c r="L33" s="35"/>
      <c r="M33" s="30">
        <v>3.0</v>
      </c>
      <c r="N33" s="30" t="s">
        <v>262</v>
      </c>
      <c r="O33" s="30" t="s">
        <v>194</v>
      </c>
      <c r="P33" s="30">
        <v>160.0</v>
      </c>
      <c r="Q33" s="30" t="s">
        <v>221</v>
      </c>
      <c r="R33" s="30" t="s">
        <v>222</v>
      </c>
      <c r="S33" s="30" t="s">
        <v>197</v>
      </c>
      <c r="T33" s="30" t="s">
        <v>312</v>
      </c>
      <c r="U33" s="30">
        <v>1.6487695E7</v>
      </c>
    </row>
    <row r="34">
      <c r="A34" s="30">
        <v>51.371097</v>
      </c>
      <c r="B34" s="30">
        <v>25.314265</v>
      </c>
      <c r="C34" s="30" t="str">
        <f t="shared" si="1"/>
        <v>51.371097 25.314265</v>
      </c>
      <c r="D34" s="30">
        <v>53.0</v>
      </c>
      <c r="E34" s="36" t="s">
        <v>313</v>
      </c>
      <c r="F34" s="32" t="s">
        <v>314</v>
      </c>
      <c r="G34" s="30" t="s">
        <v>190</v>
      </c>
      <c r="H34" s="33">
        <v>46103.0</v>
      </c>
      <c r="I34" s="30">
        <v>1170658.0</v>
      </c>
      <c r="J34" s="30" t="s">
        <v>315</v>
      </c>
      <c r="K34" s="34" t="s">
        <v>192</v>
      </c>
      <c r="L34" s="35"/>
      <c r="M34" s="30">
        <v>3.0</v>
      </c>
      <c r="N34" s="30" t="s">
        <v>193</v>
      </c>
      <c r="O34" s="30" t="s">
        <v>194</v>
      </c>
      <c r="P34" s="30">
        <v>160.0</v>
      </c>
      <c r="Q34" s="30" t="s">
        <v>195</v>
      </c>
      <c r="R34" s="30" t="s">
        <v>196</v>
      </c>
      <c r="S34" s="30" t="s">
        <v>197</v>
      </c>
      <c r="T34" s="30" t="s">
        <v>316</v>
      </c>
      <c r="U34" s="30">
        <v>1.6487696E7</v>
      </c>
    </row>
    <row r="35">
      <c r="A35" s="30">
        <v>51.362707</v>
      </c>
      <c r="B35" s="30">
        <v>25.317222</v>
      </c>
      <c r="C35" s="30" t="str">
        <f t="shared" si="1"/>
        <v>51.362707 25.317222</v>
      </c>
      <c r="D35" s="30">
        <v>51.0</v>
      </c>
      <c r="E35" s="39" t="s">
        <v>317</v>
      </c>
      <c r="F35" s="32" t="s">
        <v>318</v>
      </c>
      <c r="G35" s="30" t="s">
        <v>190</v>
      </c>
      <c r="H35" s="33">
        <v>46095.0</v>
      </c>
      <c r="I35" s="30" t="s">
        <v>201</v>
      </c>
      <c r="J35" s="30" t="s">
        <v>319</v>
      </c>
      <c r="K35" s="37" t="s">
        <v>202</v>
      </c>
      <c r="L35" s="30" t="s">
        <v>320</v>
      </c>
      <c r="M35" s="30">
        <v>4.0</v>
      </c>
      <c r="N35" s="30" t="s">
        <v>216</v>
      </c>
      <c r="O35" s="30" t="s">
        <v>194</v>
      </c>
      <c r="P35" s="30">
        <v>160.0</v>
      </c>
      <c r="Q35" s="30" t="s">
        <v>221</v>
      </c>
      <c r="R35" s="30" t="s">
        <v>222</v>
      </c>
      <c r="S35" s="30" t="s">
        <v>197</v>
      </c>
      <c r="T35" s="30" t="s">
        <v>321</v>
      </c>
      <c r="U35" s="30">
        <v>1.6487697E7</v>
      </c>
    </row>
    <row r="36">
      <c r="A36" s="45">
        <v>51.358933</v>
      </c>
      <c r="B36" s="45">
        <v>25.317274</v>
      </c>
      <c r="C36" s="30" t="str">
        <f t="shared" si="1"/>
        <v>51.358933 25.317274</v>
      </c>
      <c r="D36" s="45">
        <v>53.0</v>
      </c>
      <c r="E36" s="49" t="s">
        <v>201</v>
      </c>
      <c r="F36" s="47" t="s">
        <v>201</v>
      </c>
      <c r="G36" s="45" t="s">
        <v>303</v>
      </c>
      <c r="H36" s="48">
        <v>46097.0</v>
      </c>
      <c r="I36" s="45" t="s">
        <v>201</v>
      </c>
      <c r="J36" s="30" t="s">
        <v>201</v>
      </c>
      <c r="K36" s="37" t="s">
        <v>201</v>
      </c>
      <c r="L36" s="35"/>
      <c r="M36" s="45" t="s">
        <v>201</v>
      </c>
      <c r="N36" s="45" t="s">
        <v>262</v>
      </c>
      <c r="O36" s="45" t="s">
        <v>201</v>
      </c>
      <c r="P36" s="45" t="s">
        <v>201</v>
      </c>
      <c r="Q36" s="45" t="s">
        <v>201</v>
      </c>
      <c r="R36" s="45" t="s">
        <v>201</v>
      </c>
      <c r="S36" s="45" t="s">
        <v>201</v>
      </c>
      <c r="T36" s="45" t="s">
        <v>322</v>
      </c>
      <c r="U36" s="45">
        <v>1.6487698E7</v>
      </c>
    </row>
    <row r="37">
      <c r="A37" s="30">
        <v>51.361317</v>
      </c>
      <c r="B37" s="30">
        <v>25.316498</v>
      </c>
      <c r="C37" s="30" t="str">
        <f t="shared" si="1"/>
        <v>51.361317 25.316498</v>
      </c>
      <c r="D37" s="30">
        <v>53.0</v>
      </c>
      <c r="E37" s="39" t="s">
        <v>323</v>
      </c>
      <c r="F37" s="32" t="s">
        <v>324</v>
      </c>
      <c r="G37" s="30" t="s">
        <v>190</v>
      </c>
      <c r="H37" s="33">
        <v>46097.0</v>
      </c>
      <c r="I37" s="30" t="s">
        <v>201</v>
      </c>
      <c r="J37" s="30" t="s">
        <v>201</v>
      </c>
      <c r="K37" s="37" t="s">
        <v>202</v>
      </c>
      <c r="L37" s="35"/>
      <c r="M37" s="30">
        <v>3.0</v>
      </c>
      <c r="N37" s="30" t="s">
        <v>262</v>
      </c>
      <c r="O37" s="30" t="s">
        <v>194</v>
      </c>
      <c r="P37" s="30">
        <v>160.0</v>
      </c>
      <c r="Q37" s="30" t="s">
        <v>221</v>
      </c>
      <c r="R37" s="30" t="s">
        <v>222</v>
      </c>
      <c r="S37" s="30" t="s">
        <v>197</v>
      </c>
      <c r="T37" s="30" t="s">
        <v>325</v>
      </c>
      <c r="U37" s="30">
        <v>1.6487699E7</v>
      </c>
    </row>
    <row r="38">
      <c r="A38" s="30">
        <v>51.355372</v>
      </c>
      <c r="B38" s="30">
        <v>25.320754</v>
      </c>
      <c r="C38" s="30" t="str">
        <f t="shared" si="1"/>
        <v>51.355372 25.320754</v>
      </c>
      <c r="D38" s="30">
        <v>51.0</v>
      </c>
      <c r="E38" s="36" t="s">
        <v>260</v>
      </c>
      <c r="F38" s="32" t="s">
        <v>201</v>
      </c>
      <c r="G38" s="30" t="s">
        <v>190</v>
      </c>
      <c r="H38" s="33">
        <v>46088.0</v>
      </c>
      <c r="I38" s="30" t="s">
        <v>326</v>
      </c>
      <c r="J38" s="30" t="s">
        <v>327</v>
      </c>
      <c r="K38" s="34" t="s">
        <v>252</v>
      </c>
      <c r="L38" s="35"/>
      <c r="M38" s="30">
        <v>3.0</v>
      </c>
      <c r="N38" s="30" t="s">
        <v>193</v>
      </c>
      <c r="O38" s="38" t="s">
        <v>194</v>
      </c>
      <c r="P38" s="30">
        <v>160.0</v>
      </c>
      <c r="Q38" s="36" t="s">
        <v>195</v>
      </c>
      <c r="R38" s="36" t="s">
        <v>196</v>
      </c>
      <c r="S38" s="30" t="s">
        <v>197</v>
      </c>
      <c r="T38" s="30" t="s">
        <v>328</v>
      </c>
      <c r="U38" s="30">
        <v>1.64877E7</v>
      </c>
    </row>
    <row r="39">
      <c r="A39" s="30">
        <v>51.45364</v>
      </c>
      <c r="B39" s="30">
        <v>25.157946</v>
      </c>
      <c r="C39" s="30" t="str">
        <f t="shared" si="1"/>
        <v>51.45364 25.157946</v>
      </c>
      <c r="D39" s="30">
        <v>91.0</v>
      </c>
      <c r="E39" s="39" t="s">
        <v>329</v>
      </c>
      <c r="F39" s="32" t="s">
        <v>330</v>
      </c>
      <c r="G39" s="30" t="s">
        <v>190</v>
      </c>
      <c r="H39" s="33">
        <v>46085.0</v>
      </c>
      <c r="I39" s="30">
        <v>1390541.0</v>
      </c>
      <c r="J39" s="41" t="s">
        <v>210</v>
      </c>
      <c r="K39" s="37" t="s">
        <v>202</v>
      </c>
      <c r="L39" s="30" t="s">
        <v>195</v>
      </c>
      <c r="M39" s="30">
        <v>3.0</v>
      </c>
      <c r="N39" s="30" t="s">
        <v>193</v>
      </c>
      <c r="O39" s="30" t="s">
        <v>194</v>
      </c>
      <c r="P39" s="30">
        <v>160.0</v>
      </c>
      <c r="Q39" s="30" t="s">
        <v>195</v>
      </c>
      <c r="R39" s="30" t="s">
        <v>196</v>
      </c>
      <c r="S39" s="30" t="s">
        <v>197</v>
      </c>
      <c r="T39" s="30" t="s">
        <v>331</v>
      </c>
      <c r="U39" s="30">
        <v>1.5717639E7</v>
      </c>
    </row>
    <row r="40">
      <c r="A40" s="30">
        <v>51.352045</v>
      </c>
      <c r="B40" s="30">
        <v>25.317916</v>
      </c>
      <c r="C40" s="30" t="str">
        <f t="shared" si="1"/>
        <v>51.352045 25.317916</v>
      </c>
      <c r="D40" s="30">
        <v>53.0</v>
      </c>
      <c r="E40" s="36" t="s">
        <v>332</v>
      </c>
      <c r="F40" s="32" t="s">
        <v>333</v>
      </c>
      <c r="G40" s="30" t="s">
        <v>190</v>
      </c>
      <c r="H40" s="33">
        <v>46097.0</v>
      </c>
      <c r="I40" s="30" t="s">
        <v>201</v>
      </c>
      <c r="J40" s="30" t="s">
        <v>334</v>
      </c>
      <c r="K40" s="34" t="s">
        <v>202</v>
      </c>
      <c r="L40" s="35"/>
      <c r="M40" s="30">
        <v>3.0</v>
      </c>
      <c r="N40" s="30" t="s">
        <v>304</v>
      </c>
      <c r="O40" s="30" t="s">
        <v>194</v>
      </c>
      <c r="P40" s="30">
        <v>160.0</v>
      </c>
      <c r="Q40" s="30" t="s">
        <v>195</v>
      </c>
      <c r="R40" s="30" t="s">
        <v>196</v>
      </c>
      <c r="S40" s="30" t="s">
        <v>197</v>
      </c>
      <c r="T40" s="30" t="s">
        <v>335</v>
      </c>
      <c r="U40" s="30">
        <v>1.6487701E7</v>
      </c>
    </row>
    <row r="41">
      <c r="A41" s="30">
        <v>51.353174</v>
      </c>
      <c r="B41" s="30">
        <v>25.321721</v>
      </c>
      <c r="C41" s="30" t="str">
        <f t="shared" si="1"/>
        <v>51.353174 25.321721</v>
      </c>
      <c r="D41" s="30">
        <v>51.0</v>
      </c>
      <c r="E41" s="36" t="s">
        <v>336</v>
      </c>
      <c r="F41" s="30" t="s">
        <v>337</v>
      </c>
      <c r="G41" s="30" t="s">
        <v>190</v>
      </c>
      <c r="H41" s="33">
        <v>46097.0</v>
      </c>
      <c r="I41" s="30">
        <v>1392797.0</v>
      </c>
      <c r="J41" s="30" t="s">
        <v>201</v>
      </c>
      <c r="K41" s="34" t="s">
        <v>202</v>
      </c>
      <c r="L41" s="35"/>
      <c r="M41" s="30">
        <v>3.0</v>
      </c>
      <c r="N41" s="30" t="s">
        <v>304</v>
      </c>
      <c r="O41" s="30" t="s">
        <v>194</v>
      </c>
      <c r="P41" s="30">
        <v>160.0</v>
      </c>
      <c r="Q41" s="30" t="s">
        <v>195</v>
      </c>
      <c r="R41" s="30" t="s">
        <v>196</v>
      </c>
      <c r="S41" s="30" t="s">
        <v>197</v>
      </c>
      <c r="T41" s="30" t="s">
        <v>338</v>
      </c>
      <c r="U41" s="30">
        <v>1.6487702E7</v>
      </c>
    </row>
    <row r="42">
      <c r="A42" s="30">
        <v>51.350372</v>
      </c>
      <c r="B42" s="30">
        <v>25.322824</v>
      </c>
      <c r="C42" s="30" t="str">
        <f t="shared" si="1"/>
        <v>51.350372 25.322824</v>
      </c>
      <c r="D42" s="30">
        <v>51.0</v>
      </c>
      <c r="E42" s="36" t="s">
        <v>339</v>
      </c>
      <c r="F42" s="32" t="s">
        <v>340</v>
      </c>
      <c r="G42" s="30" t="s">
        <v>190</v>
      </c>
      <c r="H42" s="33">
        <v>46097.0</v>
      </c>
      <c r="I42" s="30">
        <v>1392796.0</v>
      </c>
      <c r="J42" s="30" t="s">
        <v>201</v>
      </c>
      <c r="K42" s="34" t="s">
        <v>202</v>
      </c>
      <c r="L42" s="35"/>
      <c r="M42" s="30">
        <v>3.0</v>
      </c>
      <c r="N42" s="30" t="s">
        <v>304</v>
      </c>
      <c r="O42" s="30" t="s">
        <v>194</v>
      </c>
      <c r="P42" s="30">
        <v>160.0</v>
      </c>
      <c r="Q42" s="30" t="s">
        <v>195</v>
      </c>
      <c r="R42" s="30" t="s">
        <v>196</v>
      </c>
      <c r="S42" s="30" t="s">
        <v>197</v>
      </c>
      <c r="T42" s="30" t="s">
        <v>341</v>
      </c>
      <c r="U42" s="30">
        <v>1.6487703E7</v>
      </c>
    </row>
    <row r="43">
      <c r="A43" s="30">
        <v>51.355361</v>
      </c>
      <c r="B43" s="30">
        <v>25.324414</v>
      </c>
      <c r="C43" s="30" t="str">
        <f t="shared" si="1"/>
        <v>51.355361 25.324414</v>
      </c>
      <c r="D43" s="30">
        <v>51.0</v>
      </c>
      <c r="E43" s="36" t="s">
        <v>342</v>
      </c>
      <c r="F43" s="32" t="s">
        <v>343</v>
      </c>
      <c r="G43" s="30" t="s">
        <v>190</v>
      </c>
      <c r="H43" s="33">
        <v>46097.0</v>
      </c>
      <c r="I43" s="30">
        <v>1392795.0</v>
      </c>
      <c r="J43" s="30" t="s">
        <v>201</v>
      </c>
      <c r="K43" s="34" t="s">
        <v>202</v>
      </c>
      <c r="L43" s="35"/>
      <c r="M43" s="30">
        <v>3.0</v>
      </c>
      <c r="N43" s="30" t="s">
        <v>304</v>
      </c>
      <c r="O43" s="30" t="s">
        <v>194</v>
      </c>
      <c r="P43" s="30">
        <v>160.0</v>
      </c>
      <c r="Q43" s="30" t="s">
        <v>195</v>
      </c>
      <c r="R43" s="30" t="s">
        <v>196</v>
      </c>
      <c r="S43" s="30" t="s">
        <v>197</v>
      </c>
      <c r="T43" s="30" t="s">
        <v>344</v>
      </c>
      <c r="U43" s="30">
        <v>1.6487704E7</v>
      </c>
    </row>
    <row r="44">
      <c r="A44" s="30">
        <v>51.346497</v>
      </c>
      <c r="B44" s="30">
        <v>25.323007</v>
      </c>
      <c r="C44" s="30" t="str">
        <f t="shared" si="1"/>
        <v>51.346497 25.323007</v>
      </c>
      <c r="D44" s="30">
        <v>53.0</v>
      </c>
      <c r="E44" s="36" t="s">
        <v>345</v>
      </c>
      <c r="F44" s="32" t="s">
        <v>346</v>
      </c>
      <c r="G44" s="30" t="s">
        <v>190</v>
      </c>
      <c r="H44" s="33">
        <v>46097.0</v>
      </c>
      <c r="I44" s="30">
        <v>1392851.0</v>
      </c>
      <c r="J44" s="30" t="s">
        <v>201</v>
      </c>
      <c r="K44" s="34" t="s">
        <v>202</v>
      </c>
      <c r="L44" s="35"/>
      <c r="M44" s="30">
        <v>3.0</v>
      </c>
      <c r="N44" s="30" t="s">
        <v>304</v>
      </c>
      <c r="O44" s="30" t="s">
        <v>194</v>
      </c>
      <c r="P44" s="30">
        <v>160.0</v>
      </c>
      <c r="Q44" s="30" t="s">
        <v>195</v>
      </c>
      <c r="R44" s="30" t="s">
        <v>196</v>
      </c>
      <c r="S44" s="30" t="s">
        <v>197</v>
      </c>
      <c r="T44" s="30" t="s">
        <v>347</v>
      </c>
      <c r="U44" s="30">
        <v>1.6487705E7</v>
      </c>
    </row>
    <row r="45">
      <c r="A45" s="30">
        <v>51.343159</v>
      </c>
      <c r="B45" s="30">
        <v>25.325559</v>
      </c>
      <c r="C45" s="30" t="str">
        <f t="shared" si="1"/>
        <v>51.343159 25.325559</v>
      </c>
      <c r="D45" s="30">
        <v>51.0</v>
      </c>
      <c r="E45" s="36" t="s">
        <v>348</v>
      </c>
      <c r="F45" s="32" t="s">
        <v>349</v>
      </c>
      <c r="G45" s="30" t="s">
        <v>190</v>
      </c>
      <c r="H45" s="33">
        <v>46097.0</v>
      </c>
      <c r="I45" s="30" t="s">
        <v>201</v>
      </c>
      <c r="J45" s="30" t="s">
        <v>350</v>
      </c>
      <c r="K45" s="34" t="s">
        <v>202</v>
      </c>
      <c r="L45" s="35"/>
      <c r="M45" s="30">
        <v>3.0</v>
      </c>
      <c r="N45" s="30" t="s">
        <v>304</v>
      </c>
      <c r="O45" s="30" t="s">
        <v>194</v>
      </c>
      <c r="P45" s="30">
        <v>160.0</v>
      </c>
      <c r="Q45" s="30" t="s">
        <v>195</v>
      </c>
      <c r="R45" s="30" t="s">
        <v>196</v>
      </c>
      <c r="S45" s="30" t="s">
        <v>197</v>
      </c>
      <c r="T45" s="30" t="s">
        <v>351</v>
      </c>
      <c r="U45" s="30">
        <v>1.6487706E7</v>
      </c>
    </row>
    <row r="46">
      <c r="A46" s="30">
        <v>51.336741</v>
      </c>
      <c r="B46" s="30">
        <v>25.329595</v>
      </c>
      <c r="C46" s="30" t="str">
        <f t="shared" si="1"/>
        <v>51.336741 25.329595</v>
      </c>
      <c r="D46" s="30">
        <v>51.0</v>
      </c>
      <c r="E46" s="36" t="s">
        <v>352</v>
      </c>
      <c r="F46" s="32" t="s">
        <v>353</v>
      </c>
      <c r="G46" s="30" t="s">
        <v>190</v>
      </c>
      <c r="H46" s="33">
        <v>46097.0</v>
      </c>
      <c r="I46" s="30">
        <v>1.393539E7</v>
      </c>
      <c r="J46" s="30" t="s">
        <v>201</v>
      </c>
      <c r="K46" s="34" t="s">
        <v>202</v>
      </c>
      <c r="L46" s="35"/>
      <c r="M46" s="30">
        <v>3.0</v>
      </c>
      <c r="N46" s="30" t="s">
        <v>304</v>
      </c>
      <c r="O46" s="30" t="s">
        <v>194</v>
      </c>
      <c r="P46" s="30">
        <v>160.0</v>
      </c>
      <c r="Q46" s="30" t="s">
        <v>195</v>
      </c>
      <c r="R46" s="30" t="s">
        <v>196</v>
      </c>
      <c r="S46" s="30" t="s">
        <v>197</v>
      </c>
      <c r="T46" s="30" t="s">
        <v>354</v>
      </c>
      <c r="U46" s="30">
        <v>1.6487707E7</v>
      </c>
    </row>
    <row r="47">
      <c r="A47" s="45">
        <v>51.333936</v>
      </c>
      <c r="B47" s="45">
        <v>25.331964</v>
      </c>
      <c r="C47" s="30" t="str">
        <f t="shared" si="1"/>
        <v>51.333936 25.331964</v>
      </c>
      <c r="D47" s="45">
        <v>51.0</v>
      </c>
      <c r="E47" s="46" t="s">
        <v>201</v>
      </c>
      <c r="F47" s="47" t="s">
        <v>201</v>
      </c>
      <c r="G47" s="30" t="s">
        <v>303</v>
      </c>
      <c r="H47" s="48">
        <v>46095.0</v>
      </c>
      <c r="I47" s="45" t="s">
        <v>326</v>
      </c>
      <c r="J47" s="30" t="s">
        <v>355</v>
      </c>
      <c r="K47" s="37" t="s">
        <v>201</v>
      </c>
      <c r="L47" s="30" t="s">
        <v>195</v>
      </c>
      <c r="M47" s="30">
        <v>4.0</v>
      </c>
      <c r="N47" s="45" t="s">
        <v>356</v>
      </c>
      <c r="O47" s="45" t="s">
        <v>201</v>
      </c>
      <c r="P47" s="45" t="s">
        <v>201</v>
      </c>
      <c r="Q47" s="45" t="s">
        <v>201</v>
      </c>
      <c r="R47" s="45" t="s">
        <v>201</v>
      </c>
      <c r="S47" s="45" t="s">
        <v>201</v>
      </c>
      <c r="T47" s="45" t="s">
        <v>357</v>
      </c>
      <c r="U47" s="45">
        <v>1.6487708E7</v>
      </c>
    </row>
    <row r="48">
      <c r="A48" s="30">
        <v>51.324373</v>
      </c>
      <c r="B48" s="30">
        <v>25.337448</v>
      </c>
      <c r="C48" s="30" t="str">
        <f t="shared" si="1"/>
        <v>51.324373 25.337448</v>
      </c>
      <c r="D48" s="30">
        <v>51.0</v>
      </c>
      <c r="E48" s="36" t="s">
        <v>201</v>
      </c>
      <c r="F48" s="36" t="s">
        <v>201</v>
      </c>
      <c r="G48" s="36" t="s">
        <v>201</v>
      </c>
      <c r="H48" s="33">
        <v>46088.0</v>
      </c>
      <c r="I48" s="30" t="s">
        <v>201</v>
      </c>
      <c r="J48" s="30" t="s">
        <v>358</v>
      </c>
      <c r="K48" s="34" t="s">
        <v>252</v>
      </c>
      <c r="L48" s="35"/>
      <c r="M48" s="30" t="s">
        <v>201</v>
      </c>
      <c r="N48" s="30" t="s">
        <v>193</v>
      </c>
      <c r="O48" s="30" t="s">
        <v>201</v>
      </c>
      <c r="P48" s="30" t="s">
        <v>201</v>
      </c>
      <c r="Q48" s="30" t="s">
        <v>201</v>
      </c>
      <c r="R48" s="30" t="s">
        <v>201</v>
      </c>
      <c r="S48" s="30" t="s">
        <v>303</v>
      </c>
      <c r="T48" s="30" t="s">
        <v>359</v>
      </c>
      <c r="U48" s="30">
        <v>1.6487709E7</v>
      </c>
    </row>
    <row r="49">
      <c r="A49" s="45">
        <v>51.307097</v>
      </c>
      <c r="B49" s="45">
        <v>25.345367</v>
      </c>
      <c r="C49" s="30" t="str">
        <f t="shared" si="1"/>
        <v>51.307097 25.345367</v>
      </c>
      <c r="D49" s="45">
        <v>80.0</v>
      </c>
      <c r="E49" s="46" t="s">
        <v>201</v>
      </c>
      <c r="F49" s="47" t="s">
        <v>201</v>
      </c>
      <c r="G49" s="45" t="s">
        <v>303</v>
      </c>
      <c r="H49" s="48">
        <v>46107.0</v>
      </c>
      <c r="I49" s="45" t="s">
        <v>201</v>
      </c>
      <c r="J49" s="45" t="s">
        <v>360</v>
      </c>
      <c r="K49" s="50" t="s">
        <v>201</v>
      </c>
      <c r="L49" s="35"/>
      <c r="M49" s="45" t="s">
        <v>201</v>
      </c>
      <c r="N49" s="45" t="s">
        <v>356</v>
      </c>
      <c r="O49" s="45" t="s">
        <v>201</v>
      </c>
      <c r="P49" s="45" t="s">
        <v>201</v>
      </c>
      <c r="Q49" s="45" t="s">
        <v>201</v>
      </c>
      <c r="R49" s="45" t="s">
        <v>201</v>
      </c>
      <c r="S49" s="45" t="s">
        <v>201</v>
      </c>
      <c r="T49" s="45" t="s">
        <v>361</v>
      </c>
      <c r="U49" s="45">
        <v>1.648771E7</v>
      </c>
    </row>
    <row r="50">
      <c r="A50" s="30">
        <v>51.319454</v>
      </c>
      <c r="B50" s="30">
        <v>25.338741</v>
      </c>
      <c r="C50" s="30" t="str">
        <f t="shared" si="1"/>
        <v>51.319454 25.338741</v>
      </c>
      <c r="D50" s="30">
        <v>53.0</v>
      </c>
      <c r="E50" s="39" t="s">
        <v>362</v>
      </c>
      <c r="F50" s="32" t="s">
        <v>363</v>
      </c>
      <c r="G50" s="30" t="s">
        <v>190</v>
      </c>
      <c r="H50" s="33">
        <v>46095.0</v>
      </c>
      <c r="I50" s="30">
        <v>1392855.0</v>
      </c>
      <c r="J50" s="30" t="s">
        <v>364</v>
      </c>
      <c r="K50" s="37" t="s">
        <v>202</v>
      </c>
      <c r="L50" s="30" t="s">
        <v>365</v>
      </c>
      <c r="M50" s="30">
        <v>3.0</v>
      </c>
      <c r="N50" s="30" t="s">
        <v>216</v>
      </c>
      <c r="O50" s="30" t="s">
        <v>194</v>
      </c>
      <c r="P50" s="30">
        <v>160.0</v>
      </c>
      <c r="Q50" s="30" t="s">
        <v>195</v>
      </c>
      <c r="R50" s="30" t="s">
        <v>196</v>
      </c>
      <c r="S50" s="30" t="s">
        <v>197</v>
      </c>
      <c r="T50" s="30" t="s">
        <v>366</v>
      </c>
      <c r="U50" s="30">
        <v>1.6487711E7</v>
      </c>
    </row>
    <row r="51">
      <c r="A51" s="30">
        <v>51.473607</v>
      </c>
      <c r="B51" s="30">
        <v>25.157996</v>
      </c>
      <c r="C51" s="30" t="str">
        <f t="shared" si="1"/>
        <v>51.473607 25.157996</v>
      </c>
      <c r="D51" s="30">
        <v>91.0</v>
      </c>
      <c r="E51" s="36" t="s">
        <v>367</v>
      </c>
      <c r="F51" s="32" t="s">
        <v>368</v>
      </c>
      <c r="G51" s="30" t="s">
        <v>190</v>
      </c>
      <c r="H51" s="33">
        <v>46098.0</v>
      </c>
      <c r="I51" s="30" t="s">
        <v>201</v>
      </c>
      <c r="J51" s="30" t="s">
        <v>210</v>
      </c>
      <c r="K51" s="37" t="s">
        <v>202</v>
      </c>
      <c r="L51" s="35"/>
      <c r="M51" s="30">
        <v>3.0</v>
      </c>
      <c r="N51" s="30" t="s">
        <v>220</v>
      </c>
      <c r="O51" s="30" t="s">
        <v>194</v>
      </c>
      <c r="P51" s="30">
        <v>160.0</v>
      </c>
      <c r="Q51" s="30" t="s">
        <v>195</v>
      </c>
      <c r="R51" s="30" t="s">
        <v>196</v>
      </c>
      <c r="S51" s="30" t="s">
        <v>197</v>
      </c>
      <c r="T51" s="30" t="s">
        <v>369</v>
      </c>
      <c r="U51" s="30">
        <v>1.571764E7</v>
      </c>
    </row>
    <row r="52">
      <c r="A52" s="30">
        <v>51.47341</v>
      </c>
      <c r="B52" s="30">
        <v>25.160955</v>
      </c>
      <c r="C52" s="30" t="str">
        <f t="shared" si="1"/>
        <v>51.47341 25.160955</v>
      </c>
      <c r="D52" s="30">
        <v>91.0</v>
      </c>
      <c r="E52" s="39" t="s">
        <v>367</v>
      </c>
      <c r="F52" s="40" t="s">
        <v>201</v>
      </c>
      <c r="G52" s="41" t="s">
        <v>190</v>
      </c>
      <c r="H52" s="42">
        <v>46056.0</v>
      </c>
      <c r="I52" s="41">
        <v>1390989.0</v>
      </c>
      <c r="J52" s="41" t="s">
        <v>210</v>
      </c>
      <c r="K52" s="37" t="s">
        <v>202</v>
      </c>
      <c r="L52" s="41" t="s">
        <v>195</v>
      </c>
      <c r="M52" s="41">
        <v>3.0</v>
      </c>
      <c r="N52" s="41" t="s">
        <v>193</v>
      </c>
      <c r="O52" s="30" t="s">
        <v>194</v>
      </c>
      <c r="P52" s="30">
        <v>160.0</v>
      </c>
      <c r="Q52" s="30" t="s">
        <v>221</v>
      </c>
      <c r="R52" s="30" t="s">
        <v>222</v>
      </c>
      <c r="S52" s="30" t="s">
        <v>197</v>
      </c>
      <c r="T52" s="30" t="s">
        <v>370</v>
      </c>
      <c r="U52" s="30">
        <v>1.5717641E7</v>
      </c>
    </row>
    <row r="53">
      <c r="A53" s="30">
        <v>51.418011</v>
      </c>
      <c r="B53" s="30">
        <v>25.141549</v>
      </c>
      <c r="C53" s="30" t="str">
        <f t="shared" si="1"/>
        <v>51.418011 25.141549</v>
      </c>
      <c r="D53" s="30">
        <v>91.0</v>
      </c>
      <c r="E53" s="36" t="s">
        <v>371</v>
      </c>
      <c r="F53" s="32" t="s">
        <v>372</v>
      </c>
      <c r="G53" s="30" t="s">
        <v>190</v>
      </c>
      <c r="H53" s="33">
        <v>46097.0</v>
      </c>
      <c r="I53" s="30" t="s">
        <v>201</v>
      </c>
      <c r="J53" s="30" t="s">
        <v>373</v>
      </c>
      <c r="K53" s="37" t="s">
        <v>202</v>
      </c>
      <c r="L53" s="35"/>
      <c r="M53" s="30">
        <v>3.0</v>
      </c>
      <c r="N53" s="30" t="s">
        <v>220</v>
      </c>
      <c r="O53" s="30" t="s">
        <v>194</v>
      </c>
      <c r="P53" s="30">
        <v>160.0</v>
      </c>
      <c r="Q53" s="30" t="s">
        <v>195</v>
      </c>
      <c r="R53" s="30" t="s">
        <v>196</v>
      </c>
      <c r="S53" s="30" t="s">
        <v>197</v>
      </c>
      <c r="T53" s="30" t="s">
        <v>374</v>
      </c>
      <c r="U53" s="30">
        <v>1.5717642E7</v>
      </c>
    </row>
    <row r="54">
      <c r="A54" s="30">
        <v>51.423454</v>
      </c>
      <c r="B54" s="30">
        <v>25.145096</v>
      </c>
      <c r="C54" s="30" t="str">
        <f t="shared" si="1"/>
        <v>51.423454 25.145096</v>
      </c>
      <c r="D54" s="30">
        <v>91.0</v>
      </c>
      <c r="E54" s="36" t="s">
        <v>375</v>
      </c>
      <c r="F54" s="32" t="s">
        <v>376</v>
      </c>
      <c r="G54" s="30" t="s">
        <v>190</v>
      </c>
      <c r="H54" s="33">
        <v>46086.0</v>
      </c>
      <c r="I54" s="30" t="s">
        <v>201</v>
      </c>
      <c r="J54" s="41" t="s">
        <v>210</v>
      </c>
      <c r="K54" s="34" t="s">
        <v>291</v>
      </c>
      <c r="L54" s="30" t="s">
        <v>195</v>
      </c>
      <c r="M54" s="30">
        <v>2.0</v>
      </c>
      <c r="N54" s="30" t="s">
        <v>193</v>
      </c>
      <c r="O54" s="30" t="s">
        <v>194</v>
      </c>
      <c r="P54" s="30">
        <v>160.0</v>
      </c>
      <c r="Q54" s="30" t="s">
        <v>195</v>
      </c>
      <c r="R54" s="30" t="s">
        <v>196</v>
      </c>
      <c r="S54" s="30" t="s">
        <v>197</v>
      </c>
      <c r="T54" s="30" t="s">
        <v>377</v>
      </c>
      <c r="U54" s="30">
        <v>1.5717643E7</v>
      </c>
    </row>
    <row r="55">
      <c r="A55" s="30">
        <v>51.493965</v>
      </c>
      <c r="B55" s="30">
        <v>25.176425</v>
      </c>
      <c r="C55" s="30" t="str">
        <f t="shared" si="1"/>
        <v>51.493965 25.176425</v>
      </c>
      <c r="D55" s="30">
        <v>56.0</v>
      </c>
      <c r="E55" s="36" t="s">
        <v>378</v>
      </c>
      <c r="F55" s="32" t="s">
        <v>379</v>
      </c>
      <c r="G55" s="30" t="s">
        <v>190</v>
      </c>
      <c r="H55" s="33">
        <v>46086.0</v>
      </c>
      <c r="I55" s="30" t="s">
        <v>201</v>
      </c>
      <c r="J55" s="30" t="s">
        <v>210</v>
      </c>
      <c r="K55" s="37" t="s">
        <v>202</v>
      </c>
      <c r="L55" s="30" t="s">
        <v>195</v>
      </c>
      <c r="M55" s="30">
        <v>2.0</v>
      </c>
      <c r="N55" s="30" t="s">
        <v>216</v>
      </c>
      <c r="O55" s="30" t="s">
        <v>194</v>
      </c>
      <c r="P55" s="30">
        <v>160.0</v>
      </c>
      <c r="Q55" s="30" t="s">
        <v>195</v>
      </c>
      <c r="R55" s="30" t="s">
        <v>196</v>
      </c>
      <c r="S55" s="30" t="s">
        <v>197</v>
      </c>
      <c r="T55" s="30" t="s">
        <v>380</v>
      </c>
      <c r="U55" s="30">
        <v>1.5717644E7</v>
      </c>
    </row>
    <row r="56">
      <c r="A56" s="30">
        <v>51.29818</v>
      </c>
      <c r="B56" s="30">
        <v>25.350593</v>
      </c>
      <c r="C56" s="30" t="str">
        <f t="shared" si="1"/>
        <v>51.29818 25.350593</v>
      </c>
      <c r="D56" s="30">
        <v>80.0</v>
      </c>
      <c r="E56" s="36" t="s">
        <v>381</v>
      </c>
      <c r="F56" s="32" t="s">
        <v>382</v>
      </c>
      <c r="G56" s="30" t="s">
        <v>190</v>
      </c>
      <c r="H56" s="33">
        <v>46094.0</v>
      </c>
      <c r="I56" s="30">
        <v>1392857.0</v>
      </c>
      <c r="J56" s="30" t="s">
        <v>383</v>
      </c>
      <c r="K56" s="37" t="s">
        <v>202</v>
      </c>
      <c r="L56" s="30" t="s">
        <v>320</v>
      </c>
      <c r="M56" s="30">
        <v>3.0</v>
      </c>
      <c r="N56" s="30" t="s">
        <v>216</v>
      </c>
      <c r="O56" s="30" t="s">
        <v>194</v>
      </c>
      <c r="P56" s="30">
        <v>160.0</v>
      </c>
      <c r="Q56" s="30" t="s">
        <v>195</v>
      </c>
      <c r="R56" s="30" t="s">
        <v>196</v>
      </c>
      <c r="S56" s="30" t="s">
        <v>197</v>
      </c>
      <c r="T56" s="30" t="s">
        <v>384</v>
      </c>
      <c r="U56" s="30">
        <v>1.6487712E7</v>
      </c>
    </row>
    <row r="57">
      <c r="A57" s="30">
        <v>51.281253</v>
      </c>
      <c r="B57" s="30">
        <v>25.354112</v>
      </c>
      <c r="C57" s="30" t="str">
        <f t="shared" si="1"/>
        <v>51.281253 25.354112</v>
      </c>
      <c r="D57" s="30">
        <v>80.0</v>
      </c>
      <c r="E57" s="36" t="s">
        <v>385</v>
      </c>
      <c r="F57" s="32" t="s">
        <v>386</v>
      </c>
      <c r="G57" s="30" t="s">
        <v>190</v>
      </c>
      <c r="H57" s="33">
        <v>46094.0</v>
      </c>
      <c r="I57" s="30" t="s">
        <v>201</v>
      </c>
      <c r="J57" s="30" t="s">
        <v>387</v>
      </c>
      <c r="K57" s="37" t="s">
        <v>202</v>
      </c>
      <c r="L57" s="30" t="s">
        <v>320</v>
      </c>
      <c r="M57" s="30">
        <v>3.0</v>
      </c>
      <c r="N57" s="30" t="s">
        <v>216</v>
      </c>
      <c r="O57" s="30" t="s">
        <v>194</v>
      </c>
      <c r="P57" s="30">
        <v>160.0</v>
      </c>
      <c r="Q57" s="30" t="s">
        <v>195</v>
      </c>
      <c r="R57" s="30" t="s">
        <v>196</v>
      </c>
      <c r="S57" s="30" t="s">
        <v>197</v>
      </c>
      <c r="T57" s="30" t="s">
        <v>388</v>
      </c>
      <c r="U57" s="30">
        <v>1.6487713E7</v>
      </c>
    </row>
    <row r="58">
      <c r="A58" s="30">
        <v>51.291034</v>
      </c>
      <c r="B58" s="30">
        <v>25.352636</v>
      </c>
      <c r="C58" s="30" t="str">
        <f t="shared" si="1"/>
        <v>51.291034 25.352636</v>
      </c>
      <c r="D58" s="30">
        <v>80.0</v>
      </c>
      <c r="E58" s="36" t="s">
        <v>389</v>
      </c>
      <c r="F58" s="32" t="s">
        <v>390</v>
      </c>
      <c r="G58" s="30" t="s">
        <v>190</v>
      </c>
      <c r="H58" s="33">
        <v>46094.0</v>
      </c>
      <c r="I58" s="30" t="s">
        <v>201</v>
      </c>
      <c r="J58" s="30" t="s">
        <v>391</v>
      </c>
      <c r="K58" s="37" t="s">
        <v>202</v>
      </c>
      <c r="L58" s="30" t="s">
        <v>365</v>
      </c>
      <c r="M58" s="30">
        <v>3.0</v>
      </c>
      <c r="N58" s="30" t="s">
        <v>216</v>
      </c>
      <c r="O58" s="30" t="s">
        <v>194</v>
      </c>
      <c r="P58" s="30">
        <v>160.0</v>
      </c>
      <c r="Q58" s="30" t="s">
        <v>195</v>
      </c>
      <c r="R58" s="30" t="s">
        <v>196</v>
      </c>
      <c r="S58" s="30" t="s">
        <v>197</v>
      </c>
      <c r="T58" s="30" t="s">
        <v>392</v>
      </c>
      <c r="U58" s="30">
        <v>1.6487714E7</v>
      </c>
    </row>
    <row r="59">
      <c r="A59" s="30">
        <v>51.261867</v>
      </c>
      <c r="B59" s="30">
        <v>25.358591</v>
      </c>
      <c r="C59" s="30" t="str">
        <f t="shared" si="1"/>
        <v>51.261867 25.358591</v>
      </c>
      <c r="D59" s="30">
        <v>80.0</v>
      </c>
      <c r="E59" s="36" t="s">
        <v>393</v>
      </c>
      <c r="F59" s="32" t="s">
        <v>394</v>
      </c>
      <c r="G59" s="30" t="s">
        <v>190</v>
      </c>
      <c r="H59" s="33">
        <v>46095.0</v>
      </c>
      <c r="I59" s="30" t="s">
        <v>201</v>
      </c>
      <c r="J59" s="30" t="s">
        <v>395</v>
      </c>
      <c r="K59" s="37" t="s">
        <v>202</v>
      </c>
      <c r="L59" s="30" t="s">
        <v>247</v>
      </c>
      <c r="M59" s="30">
        <v>3.0</v>
      </c>
      <c r="N59" s="30" t="s">
        <v>216</v>
      </c>
      <c r="O59" s="30" t="s">
        <v>194</v>
      </c>
      <c r="P59" s="30">
        <v>160.0</v>
      </c>
      <c r="Q59" s="30" t="s">
        <v>195</v>
      </c>
      <c r="R59" s="30" t="s">
        <v>196</v>
      </c>
      <c r="S59" s="30" t="s">
        <v>197</v>
      </c>
      <c r="T59" s="30" t="s">
        <v>396</v>
      </c>
      <c r="U59" s="30">
        <v>1.6487715E7</v>
      </c>
    </row>
    <row r="60">
      <c r="A60" s="30">
        <v>51.271285</v>
      </c>
      <c r="B60" s="30">
        <v>25.355707</v>
      </c>
      <c r="C60" s="30" t="str">
        <f t="shared" si="1"/>
        <v>51.271285 25.355707</v>
      </c>
      <c r="D60" s="30">
        <v>80.0</v>
      </c>
      <c r="E60" s="36" t="s">
        <v>397</v>
      </c>
      <c r="F60" s="32" t="s">
        <v>398</v>
      </c>
      <c r="G60" s="30" t="s">
        <v>190</v>
      </c>
      <c r="H60" s="33">
        <v>46094.0</v>
      </c>
      <c r="I60" s="30">
        <v>1392859.0</v>
      </c>
      <c r="J60" s="30" t="s">
        <v>399</v>
      </c>
      <c r="K60" s="37" t="s">
        <v>202</v>
      </c>
      <c r="L60" s="30" t="s">
        <v>365</v>
      </c>
      <c r="M60" s="30">
        <v>4.0</v>
      </c>
      <c r="N60" s="30" t="s">
        <v>216</v>
      </c>
      <c r="O60" s="30" t="s">
        <v>194</v>
      </c>
      <c r="P60" s="30">
        <v>160.0</v>
      </c>
      <c r="Q60" s="30" t="s">
        <v>195</v>
      </c>
      <c r="R60" s="30" t="s">
        <v>196</v>
      </c>
      <c r="S60" s="30" t="s">
        <v>197</v>
      </c>
      <c r="T60" s="30" t="s">
        <v>400</v>
      </c>
      <c r="U60" s="30">
        <v>1.6487716E7</v>
      </c>
    </row>
    <row r="61">
      <c r="A61" s="30">
        <v>51.25492</v>
      </c>
      <c r="B61" s="30">
        <v>25.361299</v>
      </c>
      <c r="C61" s="30" t="str">
        <f t="shared" si="1"/>
        <v>51.25492 25.361299</v>
      </c>
      <c r="D61" s="30">
        <v>80.0</v>
      </c>
      <c r="E61" s="36" t="s">
        <v>401</v>
      </c>
      <c r="F61" s="32" t="s">
        <v>402</v>
      </c>
      <c r="G61" s="30" t="s">
        <v>190</v>
      </c>
      <c r="H61" s="33">
        <v>46095.0</v>
      </c>
      <c r="I61" s="30" t="s">
        <v>201</v>
      </c>
      <c r="J61" s="30" t="s">
        <v>403</v>
      </c>
      <c r="K61" s="37" t="s">
        <v>202</v>
      </c>
      <c r="L61" s="30" t="s">
        <v>247</v>
      </c>
      <c r="M61" s="30">
        <v>3.0</v>
      </c>
      <c r="N61" s="30" t="s">
        <v>216</v>
      </c>
      <c r="O61" s="30" t="s">
        <v>194</v>
      </c>
      <c r="P61" s="30">
        <v>160.0</v>
      </c>
      <c r="Q61" s="30" t="s">
        <v>195</v>
      </c>
      <c r="R61" s="30" t="s">
        <v>196</v>
      </c>
      <c r="S61" s="30" t="s">
        <v>197</v>
      </c>
      <c r="T61" s="30" t="s">
        <v>404</v>
      </c>
      <c r="U61" s="30">
        <v>1.6487717E7</v>
      </c>
    </row>
    <row r="62">
      <c r="A62" s="30">
        <v>51.524057</v>
      </c>
      <c r="B62" s="30">
        <v>25.260813</v>
      </c>
      <c r="C62" s="30" t="str">
        <f t="shared" si="1"/>
        <v>51.524057 25.260813</v>
      </c>
      <c r="D62" s="30">
        <v>40.0</v>
      </c>
      <c r="E62" s="36" t="s">
        <v>199</v>
      </c>
      <c r="F62" s="32" t="s">
        <v>405</v>
      </c>
      <c r="G62" s="30" t="s">
        <v>190</v>
      </c>
      <c r="H62" s="33">
        <v>46097.0</v>
      </c>
      <c r="I62" s="30" t="s">
        <v>201</v>
      </c>
      <c r="J62" s="30" t="s">
        <v>406</v>
      </c>
      <c r="K62" s="43" t="s">
        <v>202</v>
      </c>
      <c r="L62" s="35"/>
      <c r="M62" s="30">
        <v>3.0</v>
      </c>
      <c r="N62" s="30" t="s">
        <v>356</v>
      </c>
      <c r="O62" s="30" t="s">
        <v>194</v>
      </c>
      <c r="P62" s="30">
        <v>160.0</v>
      </c>
      <c r="Q62" s="30" t="s">
        <v>195</v>
      </c>
      <c r="R62" s="30" t="s">
        <v>196</v>
      </c>
      <c r="S62" s="30" t="s">
        <v>197</v>
      </c>
      <c r="T62" s="30" t="s">
        <v>407</v>
      </c>
      <c r="U62" s="30">
        <v>1.6487718E7</v>
      </c>
    </row>
    <row r="63">
      <c r="A63" s="30">
        <v>51.525804</v>
      </c>
      <c r="B63" s="30">
        <v>25.2674</v>
      </c>
      <c r="C63" s="30" t="str">
        <f t="shared" si="1"/>
        <v>51.525804 25.2674</v>
      </c>
      <c r="D63" s="30">
        <v>24.0</v>
      </c>
      <c r="E63" s="36" t="s">
        <v>329</v>
      </c>
      <c r="F63" s="32" t="s">
        <v>408</v>
      </c>
      <c r="G63" s="30" t="s">
        <v>190</v>
      </c>
      <c r="H63" s="33">
        <v>46097.0</v>
      </c>
      <c r="I63" s="30" t="s">
        <v>201</v>
      </c>
      <c r="J63" s="32" t="s">
        <v>406</v>
      </c>
      <c r="K63" s="43" t="s">
        <v>202</v>
      </c>
      <c r="L63" s="35"/>
      <c r="M63" s="30">
        <v>3.0</v>
      </c>
      <c r="N63" s="30" t="s">
        <v>356</v>
      </c>
      <c r="O63" s="30" t="s">
        <v>194</v>
      </c>
      <c r="P63" s="30">
        <v>160.0</v>
      </c>
      <c r="Q63" s="30" t="s">
        <v>195</v>
      </c>
      <c r="R63" s="30" t="s">
        <v>196</v>
      </c>
      <c r="S63" s="30" t="s">
        <v>197</v>
      </c>
      <c r="T63" s="30" t="s">
        <v>409</v>
      </c>
      <c r="U63" s="30">
        <v>1.6487719E7</v>
      </c>
    </row>
    <row r="64">
      <c r="A64" s="30">
        <v>51.507014</v>
      </c>
      <c r="B64" s="30">
        <v>25.270264</v>
      </c>
      <c r="C64" s="30" t="str">
        <f t="shared" si="1"/>
        <v>51.507014 25.270264</v>
      </c>
      <c r="D64" s="30">
        <v>39.0</v>
      </c>
      <c r="E64" s="36" t="s">
        <v>410</v>
      </c>
      <c r="F64" s="32" t="s">
        <v>411</v>
      </c>
      <c r="G64" s="30" t="s">
        <v>190</v>
      </c>
      <c r="H64" s="33">
        <v>46097.0</v>
      </c>
      <c r="I64" s="30" t="s">
        <v>201</v>
      </c>
      <c r="J64" s="30" t="s">
        <v>412</v>
      </c>
      <c r="K64" s="43" t="s">
        <v>202</v>
      </c>
      <c r="L64" s="35"/>
      <c r="M64" s="30">
        <v>3.0</v>
      </c>
      <c r="N64" s="30" t="s">
        <v>356</v>
      </c>
      <c r="O64" s="30" t="s">
        <v>194</v>
      </c>
      <c r="P64" s="30">
        <v>160.0</v>
      </c>
      <c r="Q64" s="30" t="s">
        <v>195</v>
      </c>
      <c r="R64" s="30" t="s">
        <v>196</v>
      </c>
      <c r="S64" s="30" t="s">
        <v>197</v>
      </c>
      <c r="T64" s="30" t="s">
        <v>413</v>
      </c>
      <c r="U64" s="30">
        <v>1.648772E7</v>
      </c>
    </row>
    <row r="65">
      <c r="A65" s="30">
        <v>51.507002</v>
      </c>
      <c r="B65" s="30">
        <v>25.270256</v>
      </c>
      <c r="C65" s="30" t="str">
        <f t="shared" si="1"/>
        <v>51.507002 25.270256</v>
      </c>
      <c r="D65" s="30">
        <v>39.0</v>
      </c>
      <c r="E65" s="36" t="s">
        <v>414</v>
      </c>
      <c r="F65" s="32" t="s">
        <v>415</v>
      </c>
      <c r="G65" s="30" t="s">
        <v>190</v>
      </c>
      <c r="H65" s="33">
        <v>46091.0</v>
      </c>
      <c r="I65" s="30" t="s">
        <v>201</v>
      </c>
      <c r="J65" s="30" t="s">
        <v>416</v>
      </c>
      <c r="K65" s="37" t="s">
        <v>202</v>
      </c>
      <c r="L65" s="30" t="s">
        <v>195</v>
      </c>
      <c r="M65" s="30">
        <v>3.0</v>
      </c>
      <c r="N65" s="30" t="s">
        <v>220</v>
      </c>
      <c r="O65" s="30" t="s">
        <v>194</v>
      </c>
      <c r="P65" s="30">
        <v>160.0</v>
      </c>
      <c r="Q65" s="30" t="s">
        <v>195</v>
      </c>
      <c r="R65" s="30" t="s">
        <v>196</v>
      </c>
      <c r="S65" s="30" t="s">
        <v>197</v>
      </c>
      <c r="T65" s="30" t="s">
        <v>417</v>
      </c>
      <c r="U65" s="30">
        <v>1.6487721E7</v>
      </c>
    </row>
    <row r="66">
      <c r="A66" s="45">
        <v>51.504768</v>
      </c>
      <c r="B66" s="45">
        <v>25.268384</v>
      </c>
      <c r="C66" s="30" t="str">
        <f t="shared" si="1"/>
        <v>51.504768 25.268384</v>
      </c>
      <c r="D66" s="45">
        <v>40.0</v>
      </c>
      <c r="E66" s="46" t="s">
        <v>201</v>
      </c>
      <c r="F66" s="47" t="s">
        <v>201</v>
      </c>
      <c r="G66" s="45" t="s">
        <v>303</v>
      </c>
      <c r="H66" s="51">
        <v>46092.0</v>
      </c>
      <c r="I66" s="45" t="s">
        <v>201</v>
      </c>
      <c r="J66" s="34" t="s">
        <v>418</v>
      </c>
      <c r="K66" s="34" t="s">
        <v>201</v>
      </c>
      <c r="L66" s="30" t="s">
        <v>201</v>
      </c>
      <c r="M66" s="45" t="s">
        <v>201</v>
      </c>
      <c r="N66" s="45" t="s">
        <v>220</v>
      </c>
      <c r="O66" s="45" t="s">
        <v>201</v>
      </c>
      <c r="P66" s="45" t="s">
        <v>201</v>
      </c>
      <c r="Q66" s="45" t="s">
        <v>201</v>
      </c>
      <c r="R66" s="45" t="s">
        <v>201</v>
      </c>
      <c r="S66" s="45" t="s">
        <v>201</v>
      </c>
      <c r="T66" s="45" t="s">
        <v>419</v>
      </c>
      <c r="U66" s="45">
        <v>1.6487722E7</v>
      </c>
    </row>
    <row r="67">
      <c r="A67" s="30">
        <v>51.456589</v>
      </c>
      <c r="B67" s="30">
        <v>25.159032</v>
      </c>
      <c r="C67" s="30" t="str">
        <f t="shared" si="1"/>
        <v>51.456589 25.159032</v>
      </c>
      <c r="D67" s="30">
        <v>91.0</v>
      </c>
      <c r="E67" s="36" t="s">
        <v>420</v>
      </c>
      <c r="F67" s="32" t="s">
        <v>421</v>
      </c>
      <c r="G67" s="30" t="s">
        <v>190</v>
      </c>
      <c r="H67" s="33">
        <v>46098.0</v>
      </c>
      <c r="I67" s="30" t="s">
        <v>201</v>
      </c>
      <c r="J67" s="30" t="s">
        <v>201</v>
      </c>
      <c r="K67" s="37" t="s">
        <v>202</v>
      </c>
      <c r="L67" s="35"/>
      <c r="M67" s="30">
        <v>3.0</v>
      </c>
      <c r="N67" s="30" t="s">
        <v>220</v>
      </c>
      <c r="O67" s="30" t="s">
        <v>194</v>
      </c>
      <c r="P67" s="30">
        <v>160.0</v>
      </c>
      <c r="Q67" s="30" t="s">
        <v>195</v>
      </c>
      <c r="R67" s="30" t="s">
        <v>196</v>
      </c>
      <c r="S67" s="30" t="s">
        <v>197</v>
      </c>
      <c r="T67" s="30" t="s">
        <v>422</v>
      </c>
      <c r="U67" s="30">
        <v>1.5717656E7</v>
      </c>
    </row>
    <row r="68">
      <c r="A68" s="30">
        <v>51.412684</v>
      </c>
      <c r="B68" s="30">
        <v>25.140266</v>
      </c>
      <c r="C68" s="30" t="str">
        <f t="shared" si="1"/>
        <v>51.412684 25.140266</v>
      </c>
      <c r="D68" s="30">
        <v>91.0</v>
      </c>
      <c r="E68" s="39" t="s">
        <v>423</v>
      </c>
      <c r="F68" s="40" t="s">
        <v>424</v>
      </c>
      <c r="G68" s="30" t="s">
        <v>190</v>
      </c>
      <c r="H68" s="33">
        <v>46097.0</v>
      </c>
      <c r="I68" s="41" t="s">
        <v>201</v>
      </c>
      <c r="J68" s="41" t="s">
        <v>425</v>
      </c>
      <c r="K68" s="37" t="s">
        <v>202</v>
      </c>
      <c r="L68" s="52"/>
      <c r="M68" s="30">
        <v>3.0</v>
      </c>
      <c r="N68" s="41" t="s">
        <v>220</v>
      </c>
      <c r="O68" s="30" t="s">
        <v>194</v>
      </c>
      <c r="P68" s="30">
        <v>160.0</v>
      </c>
      <c r="Q68" s="30" t="s">
        <v>195</v>
      </c>
      <c r="R68" s="30" t="s">
        <v>196</v>
      </c>
      <c r="S68" s="30" t="s">
        <v>197</v>
      </c>
      <c r="T68" s="30" t="s">
        <v>426</v>
      </c>
      <c r="U68" s="30">
        <v>1.5717657E7</v>
      </c>
    </row>
    <row r="69">
      <c r="A69" s="30">
        <v>51.49848</v>
      </c>
      <c r="B69" s="30">
        <v>25.177136</v>
      </c>
      <c r="C69" s="30" t="str">
        <f t="shared" si="1"/>
        <v>51.49848 25.177136</v>
      </c>
      <c r="D69" s="30">
        <v>91.0</v>
      </c>
      <c r="E69" s="39" t="s">
        <v>427</v>
      </c>
      <c r="F69" s="40" t="s">
        <v>428</v>
      </c>
      <c r="G69" s="41" t="s">
        <v>190</v>
      </c>
      <c r="H69" s="42">
        <v>46077.0</v>
      </c>
      <c r="I69" s="41">
        <v>1390956.0</v>
      </c>
      <c r="J69" s="41" t="s">
        <v>210</v>
      </c>
      <c r="K69" s="37" t="s">
        <v>202</v>
      </c>
      <c r="L69" s="41" t="s">
        <v>195</v>
      </c>
      <c r="M69" s="41">
        <v>3.0</v>
      </c>
      <c r="N69" s="41" t="s">
        <v>193</v>
      </c>
      <c r="O69" s="30" t="s">
        <v>194</v>
      </c>
      <c r="P69" s="30">
        <v>160.0</v>
      </c>
      <c r="Q69" s="30" t="s">
        <v>195</v>
      </c>
      <c r="R69" s="30" t="s">
        <v>196</v>
      </c>
      <c r="S69" s="30" t="s">
        <v>197</v>
      </c>
      <c r="T69" s="30" t="s">
        <v>429</v>
      </c>
      <c r="U69" s="30">
        <v>1.5717658E7</v>
      </c>
    </row>
    <row r="70">
      <c r="A70" s="30">
        <v>51.497444</v>
      </c>
      <c r="B70" s="30">
        <v>25.17874</v>
      </c>
      <c r="C70" s="30" t="str">
        <f t="shared" si="1"/>
        <v>51.497444 25.17874</v>
      </c>
      <c r="D70" s="30">
        <v>56.0</v>
      </c>
      <c r="E70" s="36" t="s">
        <v>430</v>
      </c>
      <c r="F70" s="32" t="s">
        <v>431</v>
      </c>
      <c r="G70" s="30" t="s">
        <v>190</v>
      </c>
      <c r="H70" s="33">
        <v>46086.0</v>
      </c>
      <c r="I70" s="30">
        <v>1376714.0</v>
      </c>
      <c r="J70" s="30" t="s">
        <v>201</v>
      </c>
      <c r="K70" s="37" t="s">
        <v>202</v>
      </c>
      <c r="L70" s="30" t="s">
        <v>195</v>
      </c>
      <c r="M70" s="30">
        <v>2.0</v>
      </c>
      <c r="N70" s="30" t="s">
        <v>216</v>
      </c>
      <c r="O70" s="30" t="s">
        <v>194</v>
      </c>
      <c r="P70" s="30">
        <v>160.0</v>
      </c>
      <c r="Q70" s="30" t="s">
        <v>195</v>
      </c>
      <c r="R70" s="30" t="s">
        <v>196</v>
      </c>
      <c r="S70" s="30" t="s">
        <v>197</v>
      </c>
      <c r="T70" s="30" t="s">
        <v>432</v>
      </c>
      <c r="U70" s="30">
        <v>1.5717659E7</v>
      </c>
    </row>
    <row r="71">
      <c r="A71" s="30">
        <v>51.422279</v>
      </c>
      <c r="B71" s="30">
        <v>25.140848</v>
      </c>
      <c r="C71" s="30" t="str">
        <f t="shared" si="1"/>
        <v>51.422279 25.140848</v>
      </c>
      <c r="D71" s="30">
        <v>91.0</v>
      </c>
      <c r="E71" s="36" t="s">
        <v>433</v>
      </c>
      <c r="F71" s="40" t="s">
        <v>201</v>
      </c>
      <c r="G71" s="30" t="s">
        <v>190</v>
      </c>
      <c r="H71" s="33">
        <v>46072.0</v>
      </c>
      <c r="I71" s="30" t="s">
        <v>201</v>
      </c>
      <c r="J71" s="30" t="s">
        <v>201</v>
      </c>
      <c r="K71" s="37" t="s">
        <v>202</v>
      </c>
      <c r="L71" s="30" t="s">
        <v>195</v>
      </c>
      <c r="M71" s="30">
        <v>3.0</v>
      </c>
      <c r="N71" s="30" t="s">
        <v>193</v>
      </c>
      <c r="O71" s="30" t="s">
        <v>194</v>
      </c>
      <c r="P71" s="30">
        <v>160.0</v>
      </c>
      <c r="Q71" s="30" t="s">
        <v>195</v>
      </c>
      <c r="R71" s="30" t="s">
        <v>196</v>
      </c>
      <c r="S71" s="30" t="s">
        <v>197</v>
      </c>
      <c r="T71" s="30" t="s">
        <v>434</v>
      </c>
      <c r="U71" s="30">
        <v>1.571766E7</v>
      </c>
    </row>
    <row r="72">
      <c r="A72" s="30">
        <v>51.500579</v>
      </c>
      <c r="B72" s="30">
        <v>25.265854</v>
      </c>
      <c r="C72" s="30" t="str">
        <f t="shared" si="1"/>
        <v>51.500579 25.265854</v>
      </c>
      <c r="D72" s="30">
        <v>40.0</v>
      </c>
      <c r="E72" s="36" t="s">
        <v>435</v>
      </c>
      <c r="F72" s="32" t="s">
        <v>436</v>
      </c>
      <c r="G72" s="30" t="s">
        <v>190</v>
      </c>
      <c r="H72" s="42">
        <v>46092.0</v>
      </c>
      <c r="I72" s="30" t="s">
        <v>201</v>
      </c>
      <c r="J72" s="30" t="s">
        <v>201</v>
      </c>
      <c r="K72" s="34" t="s">
        <v>202</v>
      </c>
      <c r="L72" s="30" t="s">
        <v>195</v>
      </c>
      <c r="M72" s="30">
        <v>3.0</v>
      </c>
      <c r="N72" s="30" t="s">
        <v>220</v>
      </c>
      <c r="O72" s="30" t="s">
        <v>194</v>
      </c>
      <c r="P72" s="30">
        <v>160.0</v>
      </c>
      <c r="Q72" s="30" t="s">
        <v>195</v>
      </c>
      <c r="R72" s="30" t="s">
        <v>196</v>
      </c>
      <c r="S72" s="30" t="s">
        <v>197</v>
      </c>
      <c r="T72" s="30" t="s">
        <v>437</v>
      </c>
      <c r="U72" s="30">
        <v>1.6487723E7</v>
      </c>
    </row>
    <row r="73">
      <c r="A73" s="30">
        <v>51.515903</v>
      </c>
      <c r="B73" s="30">
        <v>25.276234</v>
      </c>
      <c r="C73" s="30" t="str">
        <f t="shared" si="1"/>
        <v>51.515903 25.276234</v>
      </c>
      <c r="D73" s="30">
        <v>24.0</v>
      </c>
      <c r="E73" s="36" t="s">
        <v>275</v>
      </c>
      <c r="F73" s="32" t="s">
        <v>438</v>
      </c>
      <c r="G73" s="30" t="s">
        <v>190</v>
      </c>
      <c r="H73" s="33">
        <v>46063.0</v>
      </c>
      <c r="I73" s="30" t="s">
        <v>201</v>
      </c>
      <c r="J73" s="30" t="s">
        <v>201</v>
      </c>
      <c r="K73" s="37" t="s">
        <v>202</v>
      </c>
      <c r="L73" s="30" t="s">
        <v>195</v>
      </c>
      <c r="M73" s="30">
        <v>2.0</v>
      </c>
      <c r="N73" s="30" t="s">
        <v>220</v>
      </c>
      <c r="O73" s="30" t="s">
        <v>194</v>
      </c>
      <c r="P73" s="30">
        <v>160.0</v>
      </c>
      <c r="Q73" s="30" t="s">
        <v>195</v>
      </c>
      <c r="R73" s="30" t="s">
        <v>196</v>
      </c>
      <c r="S73" s="30" t="s">
        <v>197</v>
      </c>
      <c r="T73" s="30" t="s">
        <v>439</v>
      </c>
      <c r="U73" s="30">
        <v>1.6487724E7</v>
      </c>
    </row>
    <row r="74">
      <c r="A74" s="30">
        <v>51.51977</v>
      </c>
      <c r="B74" s="30">
        <v>25.219574</v>
      </c>
      <c r="C74" s="30" t="str">
        <f t="shared" si="1"/>
        <v>51.51977 25.219574</v>
      </c>
      <c r="D74" s="34">
        <v>56.0</v>
      </c>
      <c r="E74" s="53" t="s">
        <v>440</v>
      </c>
      <c r="F74" s="54" t="s">
        <v>441</v>
      </c>
      <c r="G74" s="34" t="s">
        <v>190</v>
      </c>
      <c r="H74" s="55">
        <v>46090.0</v>
      </c>
      <c r="I74" s="34" t="s">
        <v>201</v>
      </c>
      <c r="J74" s="34" t="s">
        <v>442</v>
      </c>
      <c r="K74" s="43" t="s">
        <v>202</v>
      </c>
      <c r="L74" s="34" t="s">
        <v>195</v>
      </c>
      <c r="M74" s="34">
        <v>3.0</v>
      </c>
      <c r="N74" s="30" t="s">
        <v>356</v>
      </c>
      <c r="O74" s="30" t="s">
        <v>194</v>
      </c>
      <c r="P74" s="30">
        <v>160.0</v>
      </c>
      <c r="Q74" s="30" t="s">
        <v>195</v>
      </c>
      <c r="R74" s="30" t="s">
        <v>196</v>
      </c>
      <c r="S74" s="30" t="s">
        <v>197</v>
      </c>
      <c r="T74" s="30" t="s">
        <v>443</v>
      </c>
      <c r="U74" s="30">
        <v>1.6487725E7</v>
      </c>
    </row>
    <row r="75">
      <c r="A75" s="30">
        <v>51.580395</v>
      </c>
      <c r="B75" s="30">
        <v>25.233935</v>
      </c>
      <c r="C75" s="30" t="str">
        <f t="shared" si="1"/>
        <v>51.580395 25.233935</v>
      </c>
      <c r="D75" s="30">
        <v>48.0</v>
      </c>
      <c r="E75" s="39" t="s">
        <v>444</v>
      </c>
      <c r="F75" s="40" t="s">
        <v>445</v>
      </c>
      <c r="G75" s="41" t="s">
        <v>190</v>
      </c>
      <c r="H75" s="42">
        <v>46075.0</v>
      </c>
      <c r="I75" s="41">
        <v>1392807.0</v>
      </c>
      <c r="J75" s="30" t="s">
        <v>201</v>
      </c>
      <c r="K75" s="37" t="s">
        <v>296</v>
      </c>
      <c r="L75" s="41" t="s">
        <v>446</v>
      </c>
      <c r="M75" s="41">
        <v>3.0</v>
      </c>
      <c r="N75" s="30" t="s">
        <v>220</v>
      </c>
      <c r="O75" s="30" t="s">
        <v>194</v>
      </c>
      <c r="P75" s="30">
        <v>160.0</v>
      </c>
      <c r="Q75" s="30" t="s">
        <v>446</v>
      </c>
      <c r="R75" s="30" t="s">
        <v>196</v>
      </c>
      <c r="S75" s="30" t="s">
        <v>197</v>
      </c>
      <c r="T75" s="30" t="s">
        <v>447</v>
      </c>
      <c r="U75" s="30">
        <v>1.6487726E7</v>
      </c>
    </row>
    <row r="76">
      <c r="A76" s="30">
        <v>51.583977</v>
      </c>
      <c r="B76" s="30">
        <v>25.235782</v>
      </c>
      <c r="C76" s="30" t="str">
        <f t="shared" si="1"/>
        <v>51.583977 25.235782</v>
      </c>
      <c r="D76" s="30">
        <v>48.0</v>
      </c>
      <c r="E76" s="39" t="s">
        <v>448</v>
      </c>
      <c r="F76" s="40" t="s">
        <v>449</v>
      </c>
      <c r="G76" s="41" t="s">
        <v>190</v>
      </c>
      <c r="H76" s="42">
        <v>46075.0</v>
      </c>
      <c r="I76" s="41" t="s">
        <v>201</v>
      </c>
      <c r="J76" s="41" t="s">
        <v>450</v>
      </c>
      <c r="K76" s="37" t="s">
        <v>296</v>
      </c>
      <c r="L76" s="41" t="s">
        <v>451</v>
      </c>
      <c r="M76" s="41">
        <v>3.0</v>
      </c>
      <c r="N76" s="30" t="s">
        <v>220</v>
      </c>
      <c r="O76" s="30" t="s">
        <v>452</v>
      </c>
      <c r="P76" s="30">
        <v>160.0</v>
      </c>
      <c r="Q76" s="30" t="s">
        <v>195</v>
      </c>
      <c r="R76" s="30" t="s">
        <v>196</v>
      </c>
      <c r="S76" s="30" t="s">
        <v>197</v>
      </c>
      <c r="T76" s="30" t="s">
        <v>453</v>
      </c>
      <c r="U76" s="30">
        <v>1.6487727E7</v>
      </c>
    </row>
    <row r="77">
      <c r="A77" s="30">
        <v>51.522829</v>
      </c>
      <c r="B77" s="30">
        <v>25.219096</v>
      </c>
      <c r="C77" s="30" t="str">
        <f t="shared" si="1"/>
        <v>51.522829 25.219096</v>
      </c>
      <c r="D77" s="34">
        <v>56.0</v>
      </c>
      <c r="E77" s="53" t="s">
        <v>454</v>
      </c>
      <c r="F77" s="54" t="s">
        <v>455</v>
      </c>
      <c r="G77" s="34" t="s">
        <v>190</v>
      </c>
      <c r="H77" s="55">
        <v>46086.0</v>
      </c>
      <c r="I77" s="34" t="s">
        <v>201</v>
      </c>
      <c r="J77" s="34" t="s">
        <v>456</v>
      </c>
      <c r="K77" s="43" t="s">
        <v>202</v>
      </c>
      <c r="L77" s="34" t="s">
        <v>195</v>
      </c>
      <c r="M77" s="34">
        <v>3.0</v>
      </c>
      <c r="N77" s="30" t="s">
        <v>356</v>
      </c>
      <c r="O77" s="30" t="s">
        <v>194</v>
      </c>
      <c r="P77" s="30">
        <v>160.0</v>
      </c>
      <c r="Q77" s="30" t="s">
        <v>195</v>
      </c>
      <c r="R77" s="30" t="s">
        <v>196</v>
      </c>
      <c r="S77" s="30" t="s">
        <v>197</v>
      </c>
      <c r="T77" s="30" t="s">
        <v>457</v>
      </c>
      <c r="U77" s="30">
        <v>1.6487728E7</v>
      </c>
    </row>
    <row r="78">
      <c r="A78" s="30">
        <v>51.530632</v>
      </c>
      <c r="B78" s="30">
        <v>25.220196</v>
      </c>
      <c r="C78" s="30" t="str">
        <f t="shared" si="1"/>
        <v>51.530632 25.220196</v>
      </c>
      <c r="D78" s="30">
        <v>56.0</v>
      </c>
      <c r="E78" s="36" t="s">
        <v>458</v>
      </c>
      <c r="F78" s="32" t="s">
        <v>459</v>
      </c>
      <c r="G78" s="30" t="s">
        <v>190</v>
      </c>
      <c r="H78" s="33">
        <v>46092.0</v>
      </c>
      <c r="I78" s="30" t="s">
        <v>201</v>
      </c>
      <c r="J78" s="30" t="s">
        <v>460</v>
      </c>
      <c r="K78" s="43" t="s">
        <v>202</v>
      </c>
      <c r="L78" s="34" t="s">
        <v>195</v>
      </c>
      <c r="M78" s="30">
        <v>3.0</v>
      </c>
      <c r="N78" s="30" t="s">
        <v>356</v>
      </c>
      <c r="O78" s="30" t="s">
        <v>194</v>
      </c>
      <c r="P78" s="30">
        <v>160.0</v>
      </c>
      <c r="Q78" s="30" t="s">
        <v>195</v>
      </c>
      <c r="R78" s="30" t="s">
        <v>196</v>
      </c>
      <c r="S78" s="30" t="s">
        <v>197</v>
      </c>
      <c r="T78" s="30" t="s">
        <v>461</v>
      </c>
      <c r="U78" s="30">
        <v>1.6487729E7</v>
      </c>
    </row>
    <row r="79">
      <c r="A79" s="30">
        <v>51.532522</v>
      </c>
      <c r="B79" s="30">
        <v>25.219937</v>
      </c>
      <c r="C79" s="30" t="str">
        <f t="shared" si="1"/>
        <v>51.532522 25.219937</v>
      </c>
      <c r="D79" s="30">
        <v>56.0</v>
      </c>
      <c r="E79" s="36" t="s">
        <v>462</v>
      </c>
      <c r="F79" s="32" t="s">
        <v>463</v>
      </c>
      <c r="G79" s="30" t="s">
        <v>190</v>
      </c>
      <c r="H79" s="33">
        <v>46091.0</v>
      </c>
      <c r="I79" s="30">
        <v>1392785.0</v>
      </c>
      <c r="J79" s="30" t="s">
        <v>464</v>
      </c>
      <c r="K79" s="34" t="s">
        <v>196</v>
      </c>
      <c r="L79" s="30" t="s">
        <v>195</v>
      </c>
      <c r="M79" s="30">
        <v>3.0</v>
      </c>
      <c r="N79" s="30" t="s">
        <v>465</v>
      </c>
      <c r="O79" s="30" t="s">
        <v>194</v>
      </c>
      <c r="P79" s="30">
        <v>160.0</v>
      </c>
      <c r="Q79" s="30" t="s">
        <v>195</v>
      </c>
      <c r="R79" s="30" t="s">
        <v>196</v>
      </c>
      <c r="S79" s="30" t="s">
        <v>197</v>
      </c>
      <c r="T79" s="30" t="s">
        <v>466</v>
      </c>
      <c r="U79" s="30">
        <v>1.648773E7</v>
      </c>
    </row>
    <row r="80">
      <c r="A80" s="30">
        <v>51.5364</v>
      </c>
      <c r="B80" s="30">
        <v>25.221034</v>
      </c>
      <c r="C80" s="30" t="str">
        <f t="shared" si="1"/>
        <v>51.5364 25.221034</v>
      </c>
      <c r="D80" s="30">
        <v>50.0</v>
      </c>
      <c r="E80" s="36" t="s">
        <v>467</v>
      </c>
      <c r="F80" s="32" t="s">
        <v>468</v>
      </c>
      <c r="G80" s="30" t="s">
        <v>190</v>
      </c>
      <c r="H80" s="33">
        <v>46091.0</v>
      </c>
      <c r="I80" s="30" t="s">
        <v>201</v>
      </c>
      <c r="J80" s="30" t="s">
        <v>469</v>
      </c>
      <c r="K80" s="34" t="s">
        <v>196</v>
      </c>
      <c r="L80" s="30" t="s">
        <v>195</v>
      </c>
      <c r="M80" s="30">
        <v>3.0</v>
      </c>
      <c r="N80" s="30" t="s">
        <v>465</v>
      </c>
      <c r="O80" s="30" t="s">
        <v>194</v>
      </c>
      <c r="P80" s="30">
        <v>160.0</v>
      </c>
      <c r="Q80" s="30" t="s">
        <v>195</v>
      </c>
      <c r="R80" s="30" t="s">
        <v>196</v>
      </c>
      <c r="S80" s="30" t="s">
        <v>197</v>
      </c>
      <c r="T80" s="30" t="s">
        <v>470</v>
      </c>
      <c r="U80" s="30">
        <v>1.6487731E7</v>
      </c>
    </row>
    <row r="81">
      <c r="A81" s="30">
        <v>51.548502</v>
      </c>
      <c r="B81" s="30">
        <v>25.224982</v>
      </c>
      <c r="C81" s="30" t="str">
        <f t="shared" si="1"/>
        <v>51.548502 25.224982</v>
      </c>
      <c r="D81" s="30">
        <v>46.0</v>
      </c>
      <c r="E81" s="36" t="s">
        <v>471</v>
      </c>
      <c r="F81" s="32" t="s">
        <v>472</v>
      </c>
      <c r="G81" s="30" t="s">
        <v>303</v>
      </c>
      <c r="H81" s="33">
        <v>46091.0</v>
      </c>
      <c r="I81" s="30">
        <v>1392790.0</v>
      </c>
      <c r="J81" s="30" t="s">
        <v>473</v>
      </c>
      <c r="K81" s="43" t="s">
        <v>202</v>
      </c>
      <c r="L81" s="34" t="s">
        <v>195</v>
      </c>
      <c r="M81" s="30">
        <v>3.0</v>
      </c>
      <c r="N81" s="30" t="s">
        <v>356</v>
      </c>
      <c r="O81" s="30" t="s">
        <v>194</v>
      </c>
      <c r="P81" s="30">
        <v>160.0</v>
      </c>
      <c r="Q81" s="30" t="s">
        <v>195</v>
      </c>
      <c r="R81" s="30" t="s">
        <v>196</v>
      </c>
      <c r="S81" s="30" t="s">
        <v>197</v>
      </c>
      <c r="T81" s="30" t="s">
        <v>474</v>
      </c>
      <c r="U81" s="30">
        <v>1.6487732E7</v>
      </c>
    </row>
    <row r="82">
      <c r="A82" s="30">
        <v>51.55266</v>
      </c>
      <c r="B82" s="30">
        <v>25.226145</v>
      </c>
      <c r="C82" s="30" t="str">
        <f t="shared" si="1"/>
        <v>51.55266 25.226145</v>
      </c>
      <c r="D82" s="30">
        <v>46.0</v>
      </c>
      <c r="E82" s="36" t="s">
        <v>475</v>
      </c>
      <c r="F82" s="32" t="s">
        <v>476</v>
      </c>
      <c r="G82" s="30" t="s">
        <v>190</v>
      </c>
      <c r="H82" s="33">
        <v>46091.0</v>
      </c>
      <c r="I82" s="30" t="s">
        <v>201</v>
      </c>
      <c r="J82" s="30" t="s">
        <v>477</v>
      </c>
      <c r="K82" s="37" t="s">
        <v>202</v>
      </c>
      <c r="L82" s="30" t="s">
        <v>195</v>
      </c>
      <c r="M82" s="30">
        <v>3.0</v>
      </c>
      <c r="N82" s="30" t="s">
        <v>216</v>
      </c>
      <c r="O82" s="30" t="s">
        <v>194</v>
      </c>
      <c r="P82" s="30">
        <v>160.0</v>
      </c>
      <c r="Q82" s="30" t="s">
        <v>195</v>
      </c>
      <c r="R82" s="30" t="s">
        <v>196</v>
      </c>
      <c r="S82" s="30" t="s">
        <v>197</v>
      </c>
      <c r="T82" s="30" t="s">
        <v>478</v>
      </c>
      <c r="U82" s="30">
        <v>1.6487733E7</v>
      </c>
    </row>
    <row r="83">
      <c r="A83" s="30">
        <v>51.54443</v>
      </c>
      <c r="B83" s="30">
        <v>25.224023</v>
      </c>
      <c r="C83" s="30" t="str">
        <f t="shared" si="1"/>
        <v>51.54443 25.224023</v>
      </c>
      <c r="D83" s="30">
        <v>46.0</v>
      </c>
      <c r="E83" s="36" t="s">
        <v>479</v>
      </c>
      <c r="F83" s="32" t="s">
        <v>480</v>
      </c>
      <c r="G83" s="30" t="s">
        <v>190</v>
      </c>
      <c r="H83" s="33">
        <v>46091.0</v>
      </c>
      <c r="I83" s="30" t="s">
        <v>201</v>
      </c>
      <c r="J83" s="30" t="s">
        <v>201</v>
      </c>
      <c r="K83" s="43" t="s">
        <v>202</v>
      </c>
      <c r="L83" s="34" t="s">
        <v>195</v>
      </c>
      <c r="M83" s="30">
        <v>3.0</v>
      </c>
      <c r="N83" s="30" t="s">
        <v>356</v>
      </c>
      <c r="O83" s="30" t="s">
        <v>194</v>
      </c>
      <c r="P83" s="30">
        <v>160.0</v>
      </c>
      <c r="Q83" s="30" t="s">
        <v>195</v>
      </c>
      <c r="R83" s="30" t="s">
        <v>196</v>
      </c>
      <c r="S83" s="30" t="s">
        <v>197</v>
      </c>
      <c r="T83" s="30" t="s">
        <v>481</v>
      </c>
      <c r="U83" s="30">
        <v>1.6487734E7</v>
      </c>
    </row>
    <row r="84">
      <c r="A84" s="30">
        <v>51.481115</v>
      </c>
      <c r="B84" s="30">
        <v>25.169957</v>
      </c>
      <c r="C84" s="30" t="str">
        <f t="shared" si="1"/>
        <v>51.481115 25.169957</v>
      </c>
      <c r="D84" s="30">
        <v>56.0</v>
      </c>
      <c r="E84" s="36" t="s">
        <v>482</v>
      </c>
      <c r="F84" s="32" t="s">
        <v>483</v>
      </c>
      <c r="G84" s="30" t="s">
        <v>190</v>
      </c>
      <c r="H84" s="33">
        <v>46094.0</v>
      </c>
      <c r="I84" s="30">
        <v>1241881.0</v>
      </c>
      <c r="J84" s="30" t="s">
        <v>326</v>
      </c>
      <c r="K84" s="34" t="s">
        <v>192</v>
      </c>
      <c r="L84" s="35"/>
      <c r="M84" s="30">
        <v>3.0</v>
      </c>
      <c r="N84" s="30" t="s">
        <v>304</v>
      </c>
      <c r="O84" s="30" t="s">
        <v>194</v>
      </c>
      <c r="P84" s="30">
        <v>160.0</v>
      </c>
      <c r="Q84" s="30" t="s">
        <v>221</v>
      </c>
      <c r="R84" s="30" t="s">
        <v>222</v>
      </c>
      <c r="S84" s="30" t="s">
        <v>197</v>
      </c>
      <c r="T84" s="30" t="s">
        <v>484</v>
      </c>
      <c r="U84" s="30">
        <v>1.5717684E7</v>
      </c>
    </row>
    <row r="85">
      <c r="A85" s="30">
        <v>51.484854</v>
      </c>
      <c r="B85" s="30">
        <v>25.171845</v>
      </c>
      <c r="C85" s="30" t="str">
        <f t="shared" si="1"/>
        <v>51.484854 25.171845</v>
      </c>
      <c r="D85" s="30">
        <v>56.0</v>
      </c>
      <c r="E85" s="36" t="s">
        <v>485</v>
      </c>
      <c r="F85" s="32" t="s">
        <v>486</v>
      </c>
      <c r="G85" s="30" t="s">
        <v>190</v>
      </c>
      <c r="H85" s="33">
        <v>46086.0</v>
      </c>
      <c r="I85" s="30">
        <v>1376720.0</v>
      </c>
      <c r="J85" s="30" t="s">
        <v>487</v>
      </c>
      <c r="K85" s="37" t="s">
        <v>202</v>
      </c>
      <c r="L85" s="30" t="s">
        <v>365</v>
      </c>
      <c r="M85" s="30">
        <v>3.0</v>
      </c>
      <c r="N85" s="30" t="s">
        <v>216</v>
      </c>
      <c r="O85" s="30" t="s">
        <v>194</v>
      </c>
      <c r="P85" s="30">
        <v>160.0</v>
      </c>
      <c r="Q85" s="30" t="s">
        <v>195</v>
      </c>
      <c r="R85" s="30" t="s">
        <v>196</v>
      </c>
      <c r="S85" s="30" t="s">
        <v>197</v>
      </c>
      <c r="T85" s="30" t="s">
        <v>488</v>
      </c>
      <c r="U85" s="30">
        <v>1.5717685E7</v>
      </c>
    </row>
    <row r="86">
      <c r="A86" s="30">
        <v>51.4492</v>
      </c>
      <c r="B86" s="30">
        <v>25.156364</v>
      </c>
      <c r="C86" s="30" t="str">
        <f t="shared" si="1"/>
        <v>51.4492 25.156364</v>
      </c>
      <c r="D86" s="30">
        <v>91.0</v>
      </c>
      <c r="E86" s="36" t="s">
        <v>489</v>
      </c>
      <c r="F86" s="32" t="s">
        <v>490</v>
      </c>
      <c r="G86" s="30" t="s">
        <v>190</v>
      </c>
      <c r="H86" s="33">
        <v>46086.0</v>
      </c>
      <c r="I86" s="30">
        <v>1391196.0</v>
      </c>
      <c r="J86" s="30" t="s">
        <v>201</v>
      </c>
      <c r="K86" s="37" t="s">
        <v>202</v>
      </c>
      <c r="L86" s="30" t="s">
        <v>195</v>
      </c>
      <c r="M86" s="30">
        <v>3.0</v>
      </c>
      <c r="N86" s="30" t="s">
        <v>220</v>
      </c>
      <c r="O86" s="30" t="s">
        <v>194</v>
      </c>
      <c r="P86" s="30">
        <v>160.0</v>
      </c>
      <c r="Q86" s="30" t="s">
        <v>195</v>
      </c>
      <c r="R86" s="30" t="s">
        <v>196</v>
      </c>
      <c r="S86" s="30" t="s">
        <v>197</v>
      </c>
      <c r="T86" s="30" t="s">
        <v>491</v>
      </c>
      <c r="U86" s="30">
        <v>1.5717687E7</v>
      </c>
    </row>
    <row r="87">
      <c r="A87" s="30">
        <v>51.442615</v>
      </c>
      <c r="B87" s="30">
        <v>25.158451</v>
      </c>
      <c r="C87" s="30" t="str">
        <f t="shared" si="1"/>
        <v>51.442615 25.158451</v>
      </c>
      <c r="D87" s="30">
        <v>57.0</v>
      </c>
      <c r="E87" s="36" t="s">
        <v>492</v>
      </c>
      <c r="F87" s="32" t="s">
        <v>493</v>
      </c>
      <c r="G87" s="30" t="s">
        <v>190</v>
      </c>
      <c r="H87" s="33">
        <v>46090.0</v>
      </c>
      <c r="I87" s="30">
        <v>1376730.0</v>
      </c>
      <c r="J87" s="30" t="s">
        <v>494</v>
      </c>
      <c r="K87" s="34" t="s">
        <v>272</v>
      </c>
      <c r="L87" s="30" t="s">
        <v>273</v>
      </c>
      <c r="M87" s="30">
        <v>3.0</v>
      </c>
      <c r="N87" s="30" t="s">
        <v>216</v>
      </c>
      <c r="O87" s="30" t="s">
        <v>194</v>
      </c>
      <c r="P87" s="30">
        <v>160.0</v>
      </c>
      <c r="Q87" s="30" t="s">
        <v>195</v>
      </c>
      <c r="R87" s="30" t="s">
        <v>196</v>
      </c>
      <c r="S87" s="30" t="s">
        <v>197</v>
      </c>
      <c r="T87" s="30" t="s">
        <v>495</v>
      </c>
      <c r="U87" s="30">
        <v>1.5717688E7</v>
      </c>
    </row>
    <row r="88">
      <c r="A88" s="30">
        <v>51.459826</v>
      </c>
      <c r="B88" s="30">
        <v>25.160252</v>
      </c>
      <c r="C88" s="30" t="str">
        <f t="shared" si="1"/>
        <v>51.459826 25.160252</v>
      </c>
      <c r="D88" s="30">
        <v>91.0</v>
      </c>
      <c r="E88" s="39" t="s">
        <v>496</v>
      </c>
      <c r="F88" s="40" t="s">
        <v>497</v>
      </c>
      <c r="G88" s="41" t="s">
        <v>190</v>
      </c>
      <c r="H88" s="42">
        <v>46084.0</v>
      </c>
      <c r="I88" s="41">
        <v>1376619.0</v>
      </c>
      <c r="J88" s="30" t="s">
        <v>201</v>
      </c>
      <c r="K88" s="37" t="s">
        <v>202</v>
      </c>
      <c r="L88" s="41" t="s">
        <v>195</v>
      </c>
      <c r="M88" s="41">
        <v>3.0</v>
      </c>
      <c r="N88" s="30" t="s">
        <v>193</v>
      </c>
      <c r="O88" s="30" t="s">
        <v>194</v>
      </c>
      <c r="P88" s="30">
        <v>160.0</v>
      </c>
      <c r="Q88" s="30" t="s">
        <v>195</v>
      </c>
      <c r="R88" s="30" t="s">
        <v>196</v>
      </c>
      <c r="S88" s="30" t="s">
        <v>197</v>
      </c>
      <c r="T88" s="30" t="s">
        <v>498</v>
      </c>
      <c r="U88" s="30">
        <v>1.5717708E7</v>
      </c>
    </row>
    <row r="89">
      <c r="A89" s="30">
        <v>51.477025</v>
      </c>
      <c r="B89" s="30">
        <v>25.168576</v>
      </c>
      <c r="C89" s="30" t="str">
        <f t="shared" si="1"/>
        <v>51.477025 25.168576</v>
      </c>
      <c r="D89" s="30">
        <v>56.0</v>
      </c>
      <c r="E89" s="39" t="s">
        <v>499</v>
      </c>
      <c r="F89" s="32" t="s">
        <v>500</v>
      </c>
      <c r="G89" s="30" t="s">
        <v>190</v>
      </c>
      <c r="H89" s="33">
        <v>46088.0</v>
      </c>
      <c r="I89" s="30">
        <v>1376723.0</v>
      </c>
      <c r="J89" s="30" t="s">
        <v>501</v>
      </c>
      <c r="K89" s="37" t="s">
        <v>202</v>
      </c>
      <c r="L89" s="30" t="s">
        <v>247</v>
      </c>
      <c r="M89" s="30">
        <v>3.0</v>
      </c>
      <c r="N89" s="30" t="s">
        <v>216</v>
      </c>
      <c r="O89" s="30" t="s">
        <v>194</v>
      </c>
      <c r="P89" s="30">
        <v>160.0</v>
      </c>
      <c r="Q89" s="30" t="s">
        <v>195</v>
      </c>
      <c r="R89" s="30" t="s">
        <v>196</v>
      </c>
      <c r="S89" s="30" t="s">
        <v>197</v>
      </c>
      <c r="T89" s="30" t="s">
        <v>502</v>
      </c>
      <c r="U89" s="30">
        <v>1.5717709E7</v>
      </c>
    </row>
    <row r="90">
      <c r="A90" s="30">
        <v>51.486731</v>
      </c>
      <c r="B90" s="30">
        <v>25.172689</v>
      </c>
      <c r="C90" s="30" t="str">
        <f t="shared" si="1"/>
        <v>51.486731 25.172689</v>
      </c>
      <c r="D90" s="30">
        <v>56.0</v>
      </c>
      <c r="E90" s="39" t="s">
        <v>503</v>
      </c>
      <c r="F90" s="32" t="s">
        <v>504</v>
      </c>
      <c r="G90" s="30" t="s">
        <v>190</v>
      </c>
      <c r="H90" s="33">
        <v>46086.0</v>
      </c>
      <c r="I90" s="30">
        <v>1376718.0</v>
      </c>
      <c r="J90" s="30" t="s">
        <v>501</v>
      </c>
      <c r="K90" s="37" t="s">
        <v>202</v>
      </c>
      <c r="L90" s="30" t="s">
        <v>365</v>
      </c>
      <c r="M90" s="30">
        <v>3.0</v>
      </c>
      <c r="N90" s="30" t="s">
        <v>216</v>
      </c>
      <c r="O90" s="30" t="s">
        <v>194</v>
      </c>
      <c r="P90" s="30">
        <v>160.0</v>
      </c>
      <c r="Q90" s="30" t="s">
        <v>195</v>
      </c>
      <c r="R90" s="30" t="s">
        <v>196</v>
      </c>
      <c r="S90" s="30" t="s">
        <v>197</v>
      </c>
      <c r="T90" s="30" t="s">
        <v>505</v>
      </c>
      <c r="U90" s="30">
        <v>1.571771E7</v>
      </c>
    </row>
    <row r="91">
      <c r="A91" s="30">
        <v>51.500524</v>
      </c>
      <c r="B91" s="30">
        <v>25.178679</v>
      </c>
      <c r="C91" s="30" t="str">
        <f t="shared" si="1"/>
        <v>51.500524 25.178679</v>
      </c>
      <c r="D91" s="30">
        <v>91.0</v>
      </c>
      <c r="E91" s="36" t="s">
        <v>506</v>
      </c>
      <c r="F91" s="32" t="s">
        <v>507</v>
      </c>
      <c r="G91" s="30" t="s">
        <v>190</v>
      </c>
      <c r="H91" s="33">
        <v>46098.0</v>
      </c>
      <c r="I91" s="30" t="s">
        <v>201</v>
      </c>
      <c r="J91" s="30" t="s">
        <v>210</v>
      </c>
      <c r="K91" s="37" t="s">
        <v>202</v>
      </c>
      <c r="L91" s="35"/>
      <c r="M91" s="30">
        <v>3.0</v>
      </c>
      <c r="N91" s="30" t="s">
        <v>220</v>
      </c>
      <c r="O91" s="30" t="s">
        <v>194</v>
      </c>
      <c r="P91" s="30">
        <v>160.0</v>
      </c>
      <c r="Q91" s="30" t="s">
        <v>195</v>
      </c>
      <c r="R91" s="30" t="s">
        <v>196</v>
      </c>
      <c r="S91" s="30" t="s">
        <v>197</v>
      </c>
      <c r="T91" s="30" t="s">
        <v>508</v>
      </c>
      <c r="U91" s="30">
        <v>1.5717711E7</v>
      </c>
    </row>
    <row r="92">
      <c r="A92" s="30">
        <v>51.44051</v>
      </c>
      <c r="B92" s="30">
        <v>25.154611</v>
      </c>
      <c r="C92" s="30" t="str">
        <f t="shared" si="1"/>
        <v>51.44051 25.154611</v>
      </c>
      <c r="D92" s="30">
        <v>57.0</v>
      </c>
      <c r="E92" s="36" t="s">
        <v>509</v>
      </c>
      <c r="F92" s="32" t="s">
        <v>510</v>
      </c>
      <c r="G92" s="30" t="s">
        <v>190</v>
      </c>
      <c r="H92" s="33">
        <v>46090.0</v>
      </c>
      <c r="I92" s="30">
        <v>1390545.0</v>
      </c>
      <c r="J92" s="30" t="s">
        <v>511</v>
      </c>
      <c r="K92" s="34" t="s">
        <v>272</v>
      </c>
      <c r="L92" s="30" t="s">
        <v>273</v>
      </c>
      <c r="M92" s="30">
        <v>3.0</v>
      </c>
      <c r="N92" s="30" t="s">
        <v>216</v>
      </c>
      <c r="O92" s="30" t="s">
        <v>194</v>
      </c>
      <c r="P92" s="30">
        <v>160.0</v>
      </c>
      <c r="Q92" s="30" t="s">
        <v>195</v>
      </c>
      <c r="R92" s="30" t="s">
        <v>196</v>
      </c>
      <c r="S92" s="30" t="s">
        <v>197</v>
      </c>
      <c r="T92" s="30" t="s">
        <v>512</v>
      </c>
      <c r="U92" s="30">
        <v>1.5717712E7</v>
      </c>
    </row>
    <row r="93">
      <c r="A93" s="30">
        <v>51.44892</v>
      </c>
      <c r="B93" s="30">
        <v>25.157979</v>
      </c>
      <c r="C93" s="30" t="str">
        <f t="shared" si="1"/>
        <v>51.44892 25.157979</v>
      </c>
      <c r="D93" s="30">
        <v>57.0</v>
      </c>
      <c r="E93" s="36" t="s">
        <v>513</v>
      </c>
      <c r="F93" s="32" t="s">
        <v>514</v>
      </c>
      <c r="G93" s="30" t="s">
        <v>190</v>
      </c>
      <c r="H93" s="33">
        <v>46091.0</v>
      </c>
      <c r="I93" s="30">
        <v>1391197.0</v>
      </c>
      <c r="J93" s="30" t="s">
        <v>511</v>
      </c>
      <c r="K93" s="34" t="s">
        <v>272</v>
      </c>
      <c r="L93" s="30" t="s">
        <v>273</v>
      </c>
      <c r="M93" s="30">
        <v>3.0</v>
      </c>
      <c r="N93" s="30" t="s">
        <v>216</v>
      </c>
      <c r="O93" s="30" t="s">
        <v>194</v>
      </c>
      <c r="P93" s="30">
        <v>160.0</v>
      </c>
      <c r="Q93" s="30" t="s">
        <v>195</v>
      </c>
      <c r="R93" s="30" t="s">
        <v>196</v>
      </c>
      <c r="S93" s="30" t="s">
        <v>197</v>
      </c>
      <c r="T93" s="30" t="s">
        <v>515</v>
      </c>
      <c r="U93" s="30">
        <v>1.5717733E7</v>
      </c>
    </row>
    <row r="94">
      <c r="A94" s="30">
        <v>51.459113</v>
      </c>
      <c r="B94" s="30">
        <v>25.161751</v>
      </c>
      <c r="C94" s="30" t="str">
        <f t="shared" si="1"/>
        <v>51.459113 25.161751</v>
      </c>
      <c r="D94" s="30">
        <v>91.0</v>
      </c>
      <c r="E94" s="36" t="s">
        <v>516</v>
      </c>
      <c r="F94" s="32" t="s">
        <v>517</v>
      </c>
      <c r="G94" s="30" t="s">
        <v>190</v>
      </c>
      <c r="H94" s="33">
        <v>46090.0</v>
      </c>
      <c r="I94" s="30">
        <v>1391199.0</v>
      </c>
      <c r="J94" s="30" t="s">
        <v>494</v>
      </c>
      <c r="K94" s="34" t="s">
        <v>272</v>
      </c>
      <c r="L94" s="30" t="s">
        <v>273</v>
      </c>
      <c r="M94" s="30">
        <v>3.0</v>
      </c>
      <c r="N94" s="30" t="s">
        <v>216</v>
      </c>
      <c r="O94" s="30" t="s">
        <v>194</v>
      </c>
      <c r="P94" s="30">
        <v>160.0</v>
      </c>
      <c r="Q94" s="30" t="s">
        <v>195</v>
      </c>
      <c r="R94" s="30" t="s">
        <v>196</v>
      </c>
      <c r="S94" s="30" t="s">
        <v>197</v>
      </c>
      <c r="T94" s="30" t="s">
        <v>518</v>
      </c>
      <c r="U94" s="30">
        <v>1.5717734E7</v>
      </c>
    </row>
    <row r="95">
      <c r="A95" s="30">
        <v>51.465754</v>
      </c>
      <c r="B95" s="30">
        <v>25.162484</v>
      </c>
      <c r="C95" s="30" t="str">
        <f t="shared" si="1"/>
        <v>51.465754 25.162484</v>
      </c>
      <c r="D95" s="30">
        <v>91.0</v>
      </c>
      <c r="E95" s="39" t="s">
        <v>519</v>
      </c>
      <c r="F95" s="40" t="s">
        <v>201</v>
      </c>
      <c r="G95" s="41" t="s">
        <v>190</v>
      </c>
      <c r="H95" s="42">
        <v>46079.0</v>
      </c>
      <c r="I95" s="41">
        <v>1390984.0</v>
      </c>
      <c r="J95" s="41" t="s">
        <v>520</v>
      </c>
      <c r="K95" s="37" t="s">
        <v>202</v>
      </c>
      <c r="L95" s="41" t="s">
        <v>195</v>
      </c>
      <c r="M95" s="41">
        <v>3.0</v>
      </c>
      <c r="N95" s="30" t="s">
        <v>193</v>
      </c>
      <c r="O95" s="30" t="s">
        <v>194</v>
      </c>
      <c r="P95" s="30">
        <v>160.0</v>
      </c>
      <c r="Q95" s="30" t="s">
        <v>195</v>
      </c>
      <c r="R95" s="30" t="s">
        <v>196</v>
      </c>
      <c r="S95" s="30" t="s">
        <v>197</v>
      </c>
      <c r="T95" s="30" t="s">
        <v>521</v>
      </c>
      <c r="U95" s="30">
        <v>1.5717735E7</v>
      </c>
    </row>
    <row r="96">
      <c r="A96" s="30">
        <v>51.46665</v>
      </c>
      <c r="B96" s="30">
        <v>25.164926</v>
      </c>
      <c r="C96" s="30" t="str">
        <f t="shared" si="1"/>
        <v>51.46665 25.164926</v>
      </c>
      <c r="D96" s="30">
        <v>57.0</v>
      </c>
      <c r="E96" s="36" t="s">
        <v>414</v>
      </c>
      <c r="F96" s="32" t="s">
        <v>522</v>
      </c>
      <c r="G96" s="30" t="s">
        <v>190</v>
      </c>
      <c r="H96" s="33">
        <v>46090.0</v>
      </c>
      <c r="I96" s="30">
        <v>1376617.0</v>
      </c>
      <c r="J96" s="30" t="s">
        <v>271</v>
      </c>
      <c r="K96" s="34" t="s">
        <v>272</v>
      </c>
      <c r="L96" s="30" t="s">
        <v>273</v>
      </c>
      <c r="M96" s="30">
        <v>3.0</v>
      </c>
      <c r="N96" s="30" t="s">
        <v>216</v>
      </c>
      <c r="O96" s="30" t="s">
        <v>194</v>
      </c>
      <c r="P96" s="30">
        <v>160.0</v>
      </c>
      <c r="Q96" s="30" t="s">
        <v>195</v>
      </c>
      <c r="R96" s="30" t="s">
        <v>196</v>
      </c>
      <c r="S96" s="30" t="s">
        <v>197</v>
      </c>
      <c r="T96" s="30" t="s">
        <v>523</v>
      </c>
      <c r="U96" s="30">
        <v>1.5717736E7</v>
      </c>
    </row>
    <row r="97">
      <c r="A97" s="30">
        <v>51.469153</v>
      </c>
      <c r="B97" s="30">
        <v>25.163824</v>
      </c>
      <c r="C97" s="30" t="str">
        <f t="shared" si="1"/>
        <v>51.469153 25.163824</v>
      </c>
      <c r="D97" s="30">
        <v>91.0</v>
      </c>
      <c r="E97" s="39" t="s">
        <v>435</v>
      </c>
      <c r="F97" s="40" t="s">
        <v>524</v>
      </c>
      <c r="G97" s="41" t="s">
        <v>190</v>
      </c>
      <c r="H97" s="42">
        <v>46076.0</v>
      </c>
      <c r="I97" s="41">
        <v>1406662.0</v>
      </c>
      <c r="J97" s="30" t="s">
        <v>201</v>
      </c>
      <c r="K97" s="37" t="s">
        <v>202</v>
      </c>
      <c r="L97" s="41" t="s">
        <v>195</v>
      </c>
      <c r="M97" s="41">
        <v>3.0</v>
      </c>
      <c r="N97" s="41" t="s">
        <v>193</v>
      </c>
      <c r="O97" s="30" t="s">
        <v>194</v>
      </c>
      <c r="P97" s="30">
        <v>160.0</v>
      </c>
      <c r="Q97" s="30" t="s">
        <v>195</v>
      </c>
      <c r="R97" s="30" t="s">
        <v>196</v>
      </c>
      <c r="S97" s="30" t="s">
        <v>197</v>
      </c>
      <c r="T97" s="30" t="s">
        <v>525</v>
      </c>
      <c r="U97" s="30">
        <v>1.5717737E7</v>
      </c>
    </row>
    <row r="98">
      <c r="A98" s="30">
        <v>51.475912</v>
      </c>
      <c r="B98" s="30">
        <v>25.166142</v>
      </c>
      <c r="C98" s="30" t="str">
        <f t="shared" si="1"/>
        <v>51.475912 25.166142</v>
      </c>
      <c r="D98" s="30">
        <v>91.0</v>
      </c>
      <c r="E98" s="39" t="s">
        <v>526</v>
      </c>
      <c r="F98" s="41" t="s">
        <v>527</v>
      </c>
      <c r="G98" s="40" t="s">
        <v>190</v>
      </c>
      <c r="H98" s="56">
        <v>46084.0</v>
      </c>
      <c r="I98" s="41">
        <v>1376614.0</v>
      </c>
      <c r="J98" s="41" t="s">
        <v>210</v>
      </c>
      <c r="K98" s="37" t="s">
        <v>202</v>
      </c>
      <c r="L98" s="41" t="s">
        <v>195</v>
      </c>
      <c r="M98" s="41">
        <v>3.0</v>
      </c>
      <c r="N98" s="41" t="s">
        <v>193</v>
      </c>
      <c r="O98" s="30" t="s">
        <v>194</v>
      </c>
      <c r="P98" s="30">
        <v>160.0</v>
      </c>
      <c r="Q98" s="30" t="s">
        <v>195</v>
      </c>
      <c r="R98" s="30" t="s">
        <v>196</v>
      </c>
      <c r="S98" s="30" t="s">
        <v>197</v>
      </c>
      <c r="T98" s="30" t="s">
        <v>528</v>
      </c>
      <c r="U98" s="30">
        <v>1.5717738E7</v>
      </c>
    </row>
    <row r="99">
      <c r="A99" s="30">
        <v>51.488353</v>
      </c>
      <c r="B99" s="30">
        <v>25.176634</v>
      </c>
      <c r="C99" s="30" t="str">
        <f t="shared" si="1"/>
        <v>51.488353 25.176634</v>
      </c>
      <c r="D99" s="30">
        <v>56.0</v>
      </c>
      <c r="E99" s="36" t="s">
        <v>529</v>
      </c>
      <c r="F99" s="32" t="s">
        <v>530</v>
      </c>
      <c r="G99" s="30" t="s">
        <v>190</v>
      </c>
      <c r="H99" s="33">
        <v>46086.0</v>
      </c>
      <c r="I99" s="30">
        <v>1376717.0</v>
      </c>
      <c r="J99" s="30" t="s">
        <v>210</v>
      </c>
      <c r="K99" s="37" t="s">
        <v>202</v>
      </c>
      <c r="L99" s="30" t="s">
        <v>195</v>
      </c>
      <c r="M99" s="30">
        <v>2.0</v>
      </c>
      <c r="N99" s="30" t="s">
        <v>216</v>
      </c>
      <c r="O99" s="30" t="s">
        <v>194</v>
      </c>
      <c r="P99" s="30">
        <v>160.0</v>
      </c>
      <c r="Q99" s="30" t="s">
        <v>195</v>
      </c>
      <c r="R99" s="30" t="s">
        <v>196</v>
      </c>
      <c r="S99" s="30" t="s">
        <v>197</v>
      </c>
      <c r="T99" s="30" t="s">
        <v>531</v>
      </c>
      <c r="U99" s="30">
        <v>1.5717739E7</v>
      </c>
    </row>
    <row r="100">
      <c r="A100" s="30">
        <v>51.439633</v>
      </c>
      <c r="B100" s="30">
        <v>25.160845</v>
      </c>
      <c r="C100" s="30" t="str">
        <f t="shared" si="1"/>
        <v>51.439633 25.160845</v>
      </c>
      <c r="D100" s="30">
        <v>57.0</v>
      </c>
      <c r="E100" s="36" t="s">
        <v>532</v>
      </c>
      <c r="F100" s="32" t="s">
        <v>533</v>
      </c>
      <c r="G100" s="30" t="s">
        <v>190</v>
      </c>
      <c r="H100" s="33">
        <v>46098.0</v>
      </c>
      <c r="I100" s="30" t="s">
        <v>201</v>
      </c>
      <c r="J100" s="30" t="s">
        <v>534</v>
      </c>
      <c r="K100" s="37" t="s">
        <v>202</v>
      </c>
      <c r="L100" s="35"/>
      <c r="M100" s="30">
        <v>3.0</v>
      </c>
      <c r="N100" s="30" t="s">
        <v>216</v>
      </c>
      <c r="O100" s="30" t="s">
        <v>194</v>
      </c>
      <c r="P100" s="30">
        <v>160.0</v>
      </c>
      <c r="Q100" s="30" t="s">
        <v>195</v>
      </c>
      <c r="R100" s="30" t="s">
        <v>196</v>
      </c>
      <c r="S100" s="30" t="s">
        <v>197</v>
      </c>
      <c r="T100" s="30" t="s">
        <v>535</v>
      </c>
      <c r="U100" s="30">
        <v>1.5717741E7</v>
      </c>
    </row>
    <row r="101">
      <c r="A101" s="30">
        <v>51.453257</v>
      </c>
      <c r="B101" s="30">
        <v>25.159615</v>
      </c>
      <c r="C101" s="30" t="str">
        <f t="shared" si="1"/>
        <v>51.453257 25.159615</v>
      </c>
      <c r="D101" s="30">
        <v>57.0</v>
      </c>
      <c r="E101" s="36" t="s">
        <v>536</v>
      </c>
      <c r="F101" s="32" t="s">
        <v>537</v>
      </c>
      <c r="G101" s="30" t="s">
        <v>190</v>
      </c>
      <c r="H101" s="33">
        <v>46090.0</v>
      </c>
      <c r="I101" s="30">
        <v>1390539.0</v>
      </c>
      <c r="J101" s="30" t="s">
        <v>511</v>
      </c>
      <c r="K101" s="34" t="s">
        <v>272</v>
      </c>
      <c r="L101" s="30" t="s">
        <v>273</v>
      </c>
      <c r="M101" s="30">
        <v>3.0</v>
      </c>
      <c r="N101" s="30" t="s">
        <v>216</v>
      </c>
      <c r="O101" s="30" t="s">
        <v>194</v>
      </c>
      <c r="P101" s="30">
        <v>160.0</v>
      </c>
      <c r="Q101" s="30" t="s">
        <v>195</v>
      </c>
      <c r="R101" s="30" t="s">
        <v>196</v>
      </c>
      <c r="S101" s="30" t="s">
        <v>197</v>
      </c>
      <c r="T101" s="30" t="s">
        <v>538</v>
      </c>
      <c r="U101" s="30">
        <v>1.5717757E7</v>
      </c>
    </row>
    <row r="102">
      <c r="A102" s="30">
        <v>51.434995</v>
      </c>
      <c r="B102" s="30">
        <v>25.152144</v>
      </c>
      <c r="C102" s="30" t="str">
        <f t="shared" si="1"/>
        <v>51.434995 25.152144</v>
      </c>
      <c r="D102" s="30">
        <v>57.0</v>
      </c>
      <c r="E102" s="36" t="s">
        <v>539</v>
      </c>
      <c r="F102" s="32" t="s">
        <v>540</v>
      </c>
      <c r="G102" s="30" t="s">
        <v>190</v>
      </c>
      <c r="H102" s="33">
        <v>46097.0</v>
      </c>
      <c r="I102" s="30" t="s">
        <v>201</v>
      </c>
      <c r="J102" s="30" t="s">
        <v>210</v>
      </c>
      <c r="K102" s="37" t="s">
        <v>202</v>
      </c>
      <c r="L102" s="35"/>
      <c r="M102" s="30">
        <v>3.0</v>
      </c>
      <c r="N102" s="30" t="s">
        <v>220</v>
      </c>
      <c r="O102" s="30" t="s">
        <v>194</v>
      </c>
      <c r="P102" s="30">
        <v>160.0</v>
      </c>
      <c r="Q102" s="30" t="s">
        <v>195</v>
      </c>
      <c r="R102" s="30" t="s">
        <v>196</v>
      </c>
      <c r="S102" s="30" t="s">
        <v>197</v>
      </c>
      <c r="T102" s="30" t="s">
        <v>541</v>
      </c>
      <c r="U102" s="30">
        <v>1.5717758E7</v>
      </c>
    </row>
    <row r="103">
      <c r="A103" s="30">
        <v>51.490668</v>
      </c>
      <c r="B103" s="30">
        <v>25.171977</v>
      </c>
      <c r="C103" s="30" t="str">
        <f t="shared" si="1"/>
        <v>51.490668 25.171977</v>
      </c>
      <c r="D103" s="30">
        <v>91.0</v>
      </c>
      <c r="E103" s="36" t="s">
        <v>542</v>
      </c>
      <c r="F103" s="32" t="s">
        <v>543</v>
      </c>
      <c r="G103" s="30" t="s">
        <v>190</v>
      </c>
      <c r="H103" s="33">
        <v>46098.0</v>
      </c>
      <c r="I103" s="30" t="s">
        <v>201</v>
      </c>
      <c r="J103" s="30" t="s">
        <v>210</v>
      </c>
      <c r="K103" s="37" t="s">
        <v>202</v>
      </c>
      <c r="L103" s="35"/>
      <c r="M103" s="30">
        <v>3.0</v>
      </c>
      <c r="N103" s="30" t="s">
        <v>220</v>
      </c>
      <c r="O103" s="30" t="s">
        <v>194</v>
      </c>
      <c r="P103" s="30">
        <v>160.0</v>
      </c>
      <c r="Q103" s="30" t="s">
        <v>195</v>
      </c>
      <c r="R103" s="30" t="s">
        <v>196</v>
      </c>
      <c r="S103" s="30" t="s">
        <v>197</v>
      </c>
      <c r="T103" s="30" t="s">
        <v>544</v>
      </c>
      <c r="U103" s="30">
        <v>1.5717759E7</v>
      </c>
    </row>
    <row r="104">
      <c r="A104" s="30">
        <v>51.479328</v>
      </c>
      <c r="B104" s="30">
        <v>25.167717</v>
      </c>
      <c r="C104" s="30" t="str">
        <f t="shared" si="1"/>
        <v>51.479328 25.167717</v>
      </c>
      <c r="D104" s="30">
        <v>91.0</v>
      </c>
      <c r="E104" s="36" t="s">
        <v>545</v>
      </c>
      <c r="F104" s="32" t="s">
        <v>546</v>
      </c>
      <c r="G104" s="30" t="s">
        <v>190</v>
      </c>
      <c r="H104" s="33">
        <v>46097.0</v>
      </c>
      <c r="I104" s="30">
        <v>1376722.0</v>
      </c>
      <c r="J104" s="30" t="s">
        <v>201</v>
      </c>
      <c r="K104" s="37" t="s">
        <v>202</v>
      </c>
      <c r="L104" s="35"/>
      <c r="M104" s="30">
        <v>3.0</v>
      </c>
      <c r="N104" s="30" t="s">
        <v>220</v>
      </c>
      <c r="O104" s="30" t="s">
        <v>194</v>
      </c>
      <c r="P104" s="30">
        <v>160.0</v>
      </c>
      <c r="Q104" s="30" t="s">
        <v>195</v>
      </c>
      <c r="R104" s="30" t="s">
        <v>196</v>
      </c>
      <c r="S104" s="30" t="s">
        <v>197</v>
      </c>
      <c r="T104" s="30" t="s">
        <v>547</v>
      </c>
      <c r="U104" s="30">
        <v>1.5717761E7</v>
      </c>
    </row>
    <row r="105">
      <c r="A105" s="30">
        <v>51.497255</v>
      </c>
      <c r="B105" s="30">
        <v>25.211955</v>
      </c>
      <c r="C105" s="30" t="str">
        <f t="shared" si="1"/>
        <v>51.497255 25.211955</v>
      </c>
      <c r="D105" s="30">
        <v>56.0</v>
      </c>
      <c r="E105" s="36" t="s">
        <v>548</v>
      </c>
      <c r="F105" s="32" t="s">
        <v>549</v>
      </c>
      <c r="G105" s="30" t="s">
        <v>190</v>
      </c>
      <c r="H105" s="33">
        <v>46092.0</v>
      </c>
      <c r="I105" s="30">
        <v>1275854.0</v>
      </c>
      <c r="J105" s="30" t="s">
        <v>201</v>
      </c>
      <c r="K105" s="34" t="s">
        <v>291</v>
      </c>
      <c r="L105" s="30" t="s">
        <v>195</v>
      </c>
      <c r="M105" s="30">
        <v>3.0</v>
      </c>
      <c r="N105" s="57" t="s">
        <v>304</v>
      </c>
      <c r="O105" s="30" t="s">
        <v>194</v>
      </c>
      <c r="P105" s="30">
        <v>160.0</v>
      </c>
      <c r="Q105" s="30" t="s">
        <v>195</v>
      </c>
      <c r="R105" s="30" t="s">
        <v>222</v>
      </c>
      <c r="S105" s="30" t="s">
        <v>197</v>
      </c>
      <c r="T105" s="30" t="s">
        <v>550</v>
      </c>
      <c r="U105" s="30">
        <v>1.5717718E7</v>
      </c>
    </row>
    <row r="106">
      <c r="A106" s="30">
        <v>51.49784</v>
      </c>
      <c r="B106" s="30">
        <v>25.212656</v>
      </c>
      <c r="C106" s="30" t="str">
        <f t="shared" si="1"/>
        <v>51.49784 25.212656</v>
      </c>
      <c r="D106" s="30">
        <v>56.0</v>
      </c>
      <c r="E106" s="36" t="s">
        <v>551</v>
      </c>
      <c r="F106" s="32" t="s">
        <v>552</v>
      </c>
      <c r="G106" s="30" t="s">
        <v>190</v>
      </c>
      <c r="H106" s="33">
        <v>46092.0</v>
      </c>
      <c r="I106" s="30">
        <v>1263742.0</v>
      </c>
      <c r="J106" s="30" t="s">
        <v>201</v>
      </c>
      <c r="K106" s="43" t="s">
        <v>202</v>
      </c>
      <c r="L106" s="30" t="s">
        <v>195</v>
      </c>
      <c r="M106" s="30">
        <v>3.0</v>
      </c>
      <c r="N106" s="30" t="s">
        <v>356</v>
      </c>
      <c r="O106" s="30" t="s">
        <v>194</v>
      </c>
      <c r="P106" s="30">
        <v>160.0</v>
      </c>
      <c r="Q106" s="30" t="s">
        <v>221</v>
      </c>
      <c r="R106" s="30" t="s">
        <v>222</v>
      </c>
      <c r="S106" s="30" t="s">
        <v>197</v>
      </c>
      <c r="T106" s="30" t="s">
        <v>553</v>
      </c>
      <c r="U106" s="30">
        <v>1.5717747E7</v>
      </c>
    </row>
    <row r="107">
      <c r="A107" s="30">
        <v>51.49972</v>
      </c>
      <c r="B107" s="30">
        <v>25.209256</v>
      </c>
      <c r="C107" s="30" t="str">
        <f t="shared" si="1"/>
        <v>51.49972 25.209256</v>
      </c>
      <c r="D107" s="30">
        <v>56.0</v>
      </c>
      <c r="E107" s="36" t="s">
        <v>554</v>
      </c>
      <c r="F107" s="32" t="s">
        <v>555</v>
      </c>
      <c r="G107" s="30" t="s">
        <v>303</v>
      </c>
      <c r="H107" s="33">
        <v>46085.0</v>
      </c>
      <c r="I107" s="30">
        <v>1276485.0</v>
      </c>
      <c r="J107" s="30" t="s">
        <v>556</v>
      </c>
      <c r="K107" s="43" t="s">
        <v>202</v>
      </c>
      <c r="L107" s="34" t="s">
        <v>195</v>
      </c>
      <c r="M107" s="30">
        <v>4.0</v>
      </c>
      <c r="N107" s="30" t="s">
        <v>356</v>
      </c>
      <c r="O107" s="30" t="s">
        <v>194</v>
      </c>
      <c r="P107" s="30">
        <v>160.0</v>
      </c>
      <c r="Q107" s="30" t="s">
        <v>221</v>
      </c>
      <c r="R107" s="30" t="s">
        <v>222</v>
      </c>
      <c r="S107" s="30" t="s">
        <v>197</v>
      </c>
      <c r="T107" s="30" t="s">
        <v>557</v>
      </c>
      <c r="U107" s="30">
        <v>1.5717694E7</v>
      </c>
    </row>
    <row r="108">
      <c r="A108" s="30">
        <v>51.494312</v>
      </c>
      <c r="B108" s="30">
        <v>25.208485</v>
      </c>
      <c r="C108" s="30" t="str">
        <f t="shared" si="1"/>
        <v>51.494312 25.208485</v>
      </c>
      <c r="D108" s="34">
        <v>56.0</v>
      </c>
      <c r="E108" s="58" t="s">
        <v>558</v>
      </c>
      <c r="F108" s="54" t="s">
        <v>559</v>
      </c>
      <c r="G108" s="34" t="s">
        <v>190</v>
      </c>
      <c r="H108" s="55">
        <v>46087.0</v>
      </c>
      <c r="I108" s="37">
        <v>1273829.0</v>
      </c>
      <c r="J108" s="30" t="s">
        <v>201</v>
      </c>
      <c r="K108" s="43" t="s">
        <v>202</v>
      </c>
      <c r="L108" s="34" t="s">
        <v>195</v>
      </c>
      <c r="M108" s="34">
        <v>3.0</v>
      </c>
      <c r="N108" s="30" t="s">
        <v>356</v>
      </c>
      <c r="O108" s="30" t="s">
        <v>194</v>
      </c>
      <c r="P108" s="30">
        <v>160.0</v>
      </c>
      <c r="Q108" s="30" t="s">
        <v>221</v>
      </c>
      <c r="R108" s="30" t="s">
        <v>222</v>
      </c>
      <c r="S108" s="30" t="s">
        <v>197</v>
      </c>
      <c r="T108" s="30" t="s">
        <v>560</v>
      </c>
      <c r="U108" s="30">
        <v>1.5717748E7</v>
      </c>
    </row>
    <row r="109">
      <c r="A109" s="30">
        <v>51.513259</v>
      </c>
      <c r="B109" s="30">
        <v>25.223302</v>
      </c>
      <c r="C109" s="30" t="str">
        <f t="shared" si="1"/>
        <v>51.513259 25.223302</v>
      </c>
      <c r="D109" s="30">
        <v>56.0</v>
      </c>
      <c r="E109" s="36" t="s">
        <v>310</v>
      </c>
      <c r="F109" s="32" t="s">
        <v>561</v>
      </c>
      <c r="G109" s="30" t="s">
        <v>190</v>
      </c>
      <c r="H109" s="33">
        <v>46092.0</v>
      </c>
      <c r="I109" s="30">
        <v>1276483.0</v>
      </c>
      <c r="J109" s="30" t="s">
        <v>562</v>
      </c>
      <c r="K109" s="43" t="s">
        <v>202</v>
      </c>
      <c r="L109" s="34" t="s">
        <v>195</v>
      </c>
      <c r="M109" s="30">
        <v>4.0</v>
      </c>
      <c r="N109" s="30" t="s">
        <v>356</v>
      </c>
      <c r="O109" s="30" t="s">
        <v>194</v>
      </c>
      <c r="P109" s="30">
        <v>160.0</v>
      </c>
      <c r="Q109" s="30" t="s">
        <v>221</v>
      </c>
      <c r="R109" s="30" t="s">
        <v>222</v>
      </c>
      <c r="S109" s="30" t="s">
        <v>197</v>
      </c>
      <c r="T109" s="30" t="s">
        <v>563</v>
      </c>
      <c r="U109" s="30">
        <v>1.5717609E7</v>
      </c>
    </row>
    <row r="110">
      <c r="A110" s="30">
        <v>51.510826</v>
      </c>
      <c r="B110" s="30">
        <v>25.224264</v>
      </c>
      <c r="C110" s="30" t="str">
        <f t="shared" si="1"/>
        <v>51.510826 25.224264</v>
      </c>
      <c r="D110" s="34">
        <v>56.0</v>
      </c>
      <c r="E110" s="53" t="s">
        <v>479</v>
      </c>
      <c r="F110" s="54" t="s">
        <v>564</v>
      </c>
      <c r="G110" s="34" t="s">
        <v>190</v>
      </c>
      <c r="H110" s="55">
        <v>46090.0</v>
      </c>
      <c r="I110" s="34">
        <v>1233629.0</v>
      </c>
      <c r="J110" s="34" t="s">
        <v>565</v>
      </c>
      <c r="K110" s="43" t="s">
        <v>202</v>
      </c>
      <c r="L110" s="34" t="s">
        <v>195</v>
      </c>
      <c r="M110" s="34">
        <v>4.0</v>
      </c>
      <c r="N110" s="30" t="s">
        <v>356</v>
      </c>
      <c r="O110" s="30" t="s">
        <v>194</v>
      </c>
      <c r="P110" s="30">
        <v>160.0</v>
      </c>
      <c r="Q110" s="30" t="s">
        <v>195</v>
      </c>
      <c r="R110" s="30" t="s">
        <v>196</v>
      </c>
      <c r="S110" s="30" t="s">
        <v>197</v>
      </c>
      <c r="T110" s="30" t="s">
        <v>566</v>
      </c>
      <c r="U110" s="30">
        <v>1.5717719E7</v>
      </c>
    </row>
    <row r="111">
      <c r="A111" s="30">
        <v>51.514109</v>
      </c>
      <c r="B111" s="30">
        <v>25.221902</v>
      </c>
      <c r="C111" s="30" t="str">
        <f t="shared" si="1"/>
        <v>51.514109 25.221902</v>
      </c>
      <c r="D111" s="34">
        <v>56.0</v>
      </c>
      <c r="E111" s="53" t="s">
        <v>567</v>
      </c>
      <c r="F111" s="54" t="s">
        <v>568</v>
      </c>
      <c r="G111" s="34" t="s">
        <v>190</v>
      </c>
      <c r="H111" s="33">
        <v>46091.0</v>
      </c>
      <c r="I111" s="34">
        <v>1234337.0</v>
      </c>
      <c r="J111" s="34" t="s">
        <v>569</v>
      </c>
      <c r="K111" s="43" t="s">
        <v>202</v>
      </c>
      <c r="L111" s="34" t="s">
        <v>195</v>
      </c>
      <c r="M111" s="34">
        <v>3.0</v>
      </c>
      <c r="N111" s="30" t="s">
        <v>356</v>
      </c>
      <c r="O111" s="30" t="s">
        <v>194</v>
      </c>
      <c r="P111" s="30">
        <v>160.0</v>
      </c>
      <c r="Q111" s="30" t="s">
        <v>221</v>
      </c>
      <c r="R111" s="30" t="s">
        <v>222</v>
      </c>
      <c r="S111" s="30" t="s">
        <v>197</v>
      </c>
      <c r="T111" s="30" t="s">
        <v>570</v>
      </c>
      <c r="U111" s="30">
        <v>1.571761E7</v>
      </c>
    </row>
    <row r="112">
      <c r="A112" s="30">
        <v>51.502489</v>
      </c>
      <c r="B112" s="30">
        <v>25.218272</v>
      </c>
      <c r="C112" s="30" t="str">
        <f t="shared" si="1"/>
        <v>51.502489 25.218272</v>
      </c>
      <c r="D112" s="30">
        <v>56.0</v>
      </c>
      <c r="E112" s="36" t="s">
        <v>293</v>
      </c>
      <c r="F112" s="32" t="s">
        <v>571</v>
      </c>
      <c r="G112" s="30" t="s">
        <v>190</v>
      </c>
      <c r="H112" s="33">
        <v>46092.0</v>
      </c>
      <c r="I112" s="30">
        <v>1273821.0</v>
      </c>
      <c r="J112" s="30" t="s">
        <v>201</v>
      </c>
      <c r="K112" s="43" t="s">
        <v>202</v>
      </c>
      <c r="L112" s="30" t="s">
        <v>195</v>
      </c>
      <c r="M112" s="30">
        <v>3.0</v>
      </c>
      <c r="N112" s="30" t="s">
        <v>356</v>
      </c>
      <c r="O112" s="30" t="s">
        <v>194</v>
      </c>
      <c r="P112" s="30">
        <v>160.0</v>
      </c>
      <c r="Q112" s="30" t="s">
        <v>221</v>
      </c>
      <c r="R112" s="30" t="s">
        <v>222</v>
      </c>
      <c r="S112" s="30" t="s">
        <v>197</v>
      </c>
      <c r="T112" s="30" t="s">
        <v>572</v>
      </c>
      <c r="U112" s="30">
        <v>1.5717767E7</v>
      </c>
    </row>
    <row r="113">
      <c r="A113" s="30">
        <v>51.504729</v>
      </c>
      <c r="B113" s="30">
        <v>25.220958</v>
      </c>
      <c r="C113" s="30" t="str">
        <f t="shared" si="1"/>
        <v>51.504729 25.220958</v>
      </c>
      <c r="D113" s="30">
        <v>56.0</v>
      </c>
      <c r="E113" s="36" t="s">
        <v>266</v>
      </c>
      <c r="F113" s="32" t="s">
        <v>573</v>
      </c>
      <c r="G113" s="30" t="s">
        <v>190</v>
      </c>
      <c r="H113" s="33">
        <v>46092.0</v>
      </c>
      <c r="I113" s="30" t="s">
        <v>574</v>
      </c>
      <c r="J113" s="30" t="s">
        <v>575</v>
      </c>
      <c r="K113" s="43" t="s">
        <v>202</v>
      </c>
      <c r="L113" s="34" t="s">
        <v>195</v>
      </c>
      <c r="M113" s="30">
        <v>3.0</v>
      </c>
      <c r="N113" s="30" t="s">
        <v>356</v>
      </c>
      <c r="O113" s="30" t="s">
        <v>194</v>
      </c>
      <c r="P113" s="30">
        <v>160.0</v>
      </c>
      <c r="Q113" s="30" t="s">
        <v>221</v>
      </c>
      <c r="R113" s="30" t="s">
        <v>222</v>
      </c>
      <c r="S113" s="30" t="s">
        <v>197</v>
      </c>
      <c r="T113" s="30" t="s">
        <v>576</v>
      </c>
      <c r="U113" s="30">
        <v>1.5717611E7</v>
      </c>
    </row>
    <row r="114">
      <c r="A114" s="30">
        <v>51.506755</v>
      </c>
      <c r="B114" s="30">
        <v>25.223406</v>
      </c>
      <c r="C114" s="30" t="str">
        <f t="shared" si="1"/>
        <v>51.506755 25.223406</v>
      </c>
      <c r="D114" s="30">
        <v>56.0</v>
      </c>
      <c r="E114" s="36" t="s">
        <v>375</v>
      </c>
      <c r="F114" s="32" t="s">
        <v>537</v>
      </c>
      <c r="G114" s="30" t="s">
        <v>190</v>
      </c>
      <c r="H114" s="33">
        <v>46092.0</v>
      </c>
      <c r="I114" s="30" t="s">
        <v>577</v>
      </c>
      <c r="J114" s="30" t="s">
        <v>578</v>
      </c>
      <c r="K114" s="43" t="s">
        <v>202</v>
      </c>
      <c r="L114" s="34" t="s">
        <v>195</v>
      </c>
      <c r="M114" s="30">
        <v>3.0</v>
      </c>
      <c r="N114" s="30" t="s">
        <v>356</v>
      </c>
      <c r="O114" s="30" t="s">
        <v>194</v>
      </c>
      <c r="P114" s="30">
        <v>160.0</v>
      </c>
      <c r="Q114" s="30" t="s">
        <v>221</v>
      </c>
      <c r="R114" s="30" t="s">
        <v>222</v>
      </c>
      <c r="S114" s="30" t="s">
        <v>197</v>
      </c>
      <c r="T114" s="30" t="s">
        <v>579</v>
      </c>
      <c r="U114" s="30">
        <v>1.5717749E7</v>
      </c>
    </row>
    <row r="115">
      <c r="A115" s="30">
        <v>51.450158</v>
      </c>
      <c r="B115" s="30">
        <v>25.191</v>
      </c>
      <c r="C115" s="30" t="str">
        <f t="shared" si="1"/>
        <v>51.450158 25.191</v>
      </c>
      <c r="D115" s="34">
        <v>57.0</v>
      </c>
      <c r="E115" s="53" t="s">
        <v>529</v>
      </c>
      <c r="F115" s="59" t="s">
        <v>580</v>
      </c>
      <c r="G115" s="37" t="s">
        <v>190</v>
      </c>
      <c r="H115" s="60">
        <v>46077.0</v>
      </c>
      <c r="I115" s="37">
        <v>1234318.0</v>
      </c>
      <c r="J115" s="30" t="s">
        <v>201</v>
      </c>
      <c r="K115" s="43" t="s">
        <v>202</v>
      </c>
      <c r="L115" s="34" t="s">
        <v>195</v>
      </c>
      <c r="M115" s="34">
        <v>3.0</v>
      </c>
      <c r="N115" s="30" t="s">
        <v>356</v>
      </c>
      <c r="O115" s="30" t="s">
        <v>194</v>
      </c>
      <c r="P115" s="30">
        <v>160.0</v>
      </c>
      <c r="Q115" s="30" t="s">
        <v>221</v>
      </c>
      <c r="R115" s="30" t="s">
        <v>222</v>
      </c>
      <c r="S115" s="30" t="s">
        <v>197</v>
      </c>
      <c r="T115" s="30" t="s">
        <v>581</v>
      </c>
      <c r="U115" s="30">
        <v>1.5717768E7</v>
      </c>
    </row>
    <row r="116">
      <c r="A116" s="30">
        <v>51.504569</v>
      </c>
      <c r="B116" s="30">
        <v>25.219076</v>
      </c>
      <c r="C116" s="30" t="str">
        <f t="shared" si="1"/>
        <v>51.504569 25.219076</v>
      </c>
      <c r="D116" s="30">
        <v>56.0</v>
      </c>
      <c r="E116" s="36" t="s">
        <v>582</v>
      </c>
      <c r="F116" s="32" t="s">
        <v>583</v>
      </c>
      <c r="G116" s="30" t="s">
        <v>190</v>
      </c>
      <c r="H116" s="33">
        <v>46088.0</v>
      </c>
      <c r="I116" s="30">
        <v>1273830.0</v>
      </c>
      <c r="J116" s="30" t="s">
        <v>201</v>
      </c>
      <c r="K116" s="43" t="s">
        <v>202</v>
      </c>
      <c r="L116" s="34" t="s">
        <v>195</v>
      </c>
      <c r="M116" s="30">
        <v>3.0</v>
      </c>
      <c r="N116" s="30" t="s">
        <v>356</v>
      </c>
      <c r="O116" s="30" t="s">
        <v>194</v>
      </c>
      <c r="P116" s="30">
        <v>160.0</v>
      </c>
      <c r="Q116" s="30" t="s">
        <v>221</v>
      </c>
      <c r="R116" s="30" t="s">
        <v>222</v>
      </c>
      <c r="S116" s="30" t="s">
        <v>197</v>
      </c>
      <c r="T116" s="30" t="s">
        <v>584</v>
      </c>
      <c r="U116" s="30">
        <v>1.571772E7</v>
      </c>
    </row>
    <row r="117">
      <c r="A117" s="30">
        <v>51.459074</v>
      </c>
      <c r="B117" s="30">
        <v>25.188202</v>
      </c>
      <c r="C117" s="30" t="str">
        <f t="shared" si="1"/>
        <v>51.459074 25.188202</v>
      </c>
      <c r="D117" s="30">
        <v>56.0</v>
      </c>
      <c r="E117" s="36" t="s">
        <v>585</v>
      </c>
      <c r="F117" s="40" t="s">
        <v>586</v>
      </c>
      <c r="G117" s="30" t="s">
        <v>190</v>
      </c>
      <c r="H117" s="33">
        <v>46088.0</v>
      </c>
      <c r="I117" s="41">
        <v>1370864.0</v>
      </c>
      <c r="J117" s="30" t="s">
        <v>587</v>
      </c>
      <c r="K117" s="34" t="s">
        <v>252</v>
      </c>
      <c r="L117" s="30" t="s">
        <v>320</v>
      </c>
      <c r="M117" s="30">
        <v>3.0</v>
      </c>
      <c r="N117" s="30" t="s">
        <v>216</v>
      </c>
      <c r="O117" s="30" t="s">
        <v>194</v>
      </c>
      <c r="P117" s="30">
        <v>160.0</v>
      </c>
      <c r="Q117" s="30" t="s">
        <v>221</v>
      </c>
      <c r="R117" s="30" t="s">
        <v>222</v>
      </c>
      <c r="S117" s="30" t="s">
        <v>197</v>
      </c>
      <c r="T117" s="30" t="s">
        <v>588</v>
      </c>
      <c r="U117" s="30">
        <v>1.8747002E7</v>
      </c>
    </row>
    <row r="118">
      <c r="A118" s="30">
        <v>51.460516</v>
      </c>
      <c r="B118" s="30">
        <v>25.186617</v>
      </c>
      <c r="C118" s="30" t="str">
        <f t="shared" si="1"/>
        <v>51.460516 25.186617</v>
      </c>
      <c r="D118" s="30">
        <v>56.0</v>
      </c>
      <c r="E118" s="36" t="s">
        <v>454</v>
      </c>
      <c r="F118" s="40" t="s">
        <v>589</v>
      </c>
      <c r="G118" s="30" t="s">
        <v>190</v>
      </c>
      <c r="H118" s="33">
        <v>46088.0</v>
      </c>
      <c r="I118" s="41">
        <v>1370863.0</v>
      </c>
      <c r="J118" s="30" t="s">
        <v>590</v>
      </c>
      <c r="K118" s="34" t="s">
        <v>252</v>
      </c>
      <c r="L118" s="30" t="s">
        <v>320</v>
      </c>
      <c r="M118" s="30">
        <v>3.0</v>
      </c>
      <c r="N118" s="30" t="s">
        <v>216</v>
      </c>
      <c r="O118" s="30" t="s">
        <v>194</v>
      </c>
      <c r="P118" s="30">
        <v>160.0</v>
      </c>
      <c r="Q118" s="30" t="s">
        <v>221</v>
      </c>
      <c r="R118" s="30" t="s">
        <v>222</v>
      </c>
      <c r="S118" s="30" t="s">
        <v>197</v>
      </c>
      <c r="T118" s="30" t="s">
        <v>591</v>
      </c>
      <c r="U118" s="30">
        <v>1.8747003E7</v>
      </c>
    </row>
    <row r="119">
      <c r="A119" s="30">
        <v>51.462324</v>
      </c>
      <c r="B119" s="30">
        <v>25.184556</v>
      </c>
      <c r="C119" s="30" t="str">
        <f t="shared" si="1"/>
        <v>51.462324 25.184556</v>
      </c>
      <c r="D119" s="30">
        <v>56.0</v>
      </c>
      <c r="E119" s="36" t="s">
        <v>260</v>
      </c>
      <c r="F119" s="40" t="s">
        <v>592</v>
      </c>
      <c r="G119" s="30" t="s">
        <v>190</v>
      </c>
      <c r="H119" s="33">
        <v>46088.0</v>
      </c>
      <c r="I119" s="41">
        <v>1370862.0</v>
      </c>
      <c r="J119" s="30" t="s">
        <v>593</v>
      </c>
      <c r="K119" s="34" t="s">
        <v>252</v>
      </c>
      <c r="L119" s="30" t="s">
        <v>320</v>
      </c>
      <c r="M119" s="30">
        <v>3.0</v>
      </c>
      <c r="N119" s="30" t="s">
        <v>216</v>
      </c>
      <c r="O119" s="30" t="s">
        <v>194</v>
      </c>
      <c r="P119" s="30">
        <v>160.0</v>
      </c>
      <c r="Q119" s="30" t="s">
        <v>221</v>
      </c>
      <c r="R119" s="30" t="s">
        <v>222</v>
      </c>
      <c r="S119" s="30" t="s">
        <v>197</v>
      </c>
      <c r="T119" s="30" t="s">
        <v>594</v>
      </c>
      <c r="U119" s="30">
        <v>1.8747004E7</v>
      </c>
    </row>
    <row r="120">
      <c r="A120" s="30">
        <v>51.465061</v>
      </c>
      <c r="B120" s="30">
        <v>25.180717</v>
      </c>
      <c r="C120" s="30" t="str">
        <f t="shared" si="1"/>
        <v>51.465061 25.180717</v>
      </c>
      <c r="D120" s="30">
        <v>56.0</v>
      </c>
      <c r="E120" s="36" t="s">
        <v>310</v>
      </c>
      <c r="F120" s="32" t="s">
        <v>595</v>
      </c>
      <c r="G120" s="30" t="s">
        <v>190</v>
      </c>
      <c r="H120" s="33">
        <v>46088.0</v>
      </c>
      <c r="I120" s="41">
        <v>1372956.0</v>
      </c>
      <c r="J120" s="30" t="s">
        <v>596</v>
      </c>
      <c r="K120" s="34" t="s">
        <v>252</v>
      </c>
      <c r="L120" s="30" t="s">
        <v>320</v>
      </c>
      <c r="M120" s="30">
        <v>3.0</v>
      </c>
      <c r="N120" s="30" t="s">
        <v>216</v>
      </c>
      <c r="O120" s="30" t="s">
        <v>194</v>
      </c>
      <c r="P120" s="30">
        <v>160.0</v>
      </c>
      <c r="Q120" s="30" t="s">
        <v>221</v>
      </c>
      <c r="R120" s="30" t="s">
        <v>222</v>
      </c>
      <c r="S120" s="30" t="s">
        <v>197</v>
      </c>
      <c r="T120" s="30" t="s">
        <v>597</v>
      </c>
      <c r="U120" s="30">
        <v>1.8747005E7</v>
      </c>
    </row>
    <row r="121">
      <c r="A121" s="30">
        <v>51.467225</v>
      </c>
      <c r="B121" s="30">
        <v>25.177643</v>
      </c>
      <c r="C121" s="30" t="str">
        <f t="shared" si="1"/>
        <v>51.467225 25.177643</v>
      </c>
      <c r="D121" s="30">
        <v>56.0</v>
      </c>
      <c r="E121" s="36" t="s">
        <v>323</v>
      </c>
      <c r="F121" s="40" t="s">
        <v>598</v>
      </c>
      <c r="G121" s="30" t="s">
        <v>190</v>
      </c>
      <c r="H121" s="33">
        <v>46088.0</v>
      </c>
      <c r="I121" s="41">
        <v>1372957.0</v>
      </c>
      <c r="J121" s="30" t="s">
        <v>593</v>
      </c>
      <c r="K121" s="34" t="s">
        <v>252</v>
      </c>
      <c r="L121" s="30" t="s">
        <v>320</v>
      </c>
      <c r="M121" s="30">
        <v>3.0</v>
      </c>
      <c r="N121" s="30" t="s">
        <v>216</v>
      </c>
      <c r="O121" s="30" t="s">
        <v>194</v>
      </c>
      <c r="P121" s="30">
        <v>160.0</v>
      </c>
      <c r="Q121" s="30" t="s">
        <v>221</v>
      </c>
      <c r="R121" s="30" t="s">
        <v>222</v>
      </c>
      <c r="S121" s="30" t="s">
        <v>197</v>
      </c>
      <c r="T121" s="30" t="s">
        <v>599</v>
      </c>
      <c r="U121" s="30">
        <v>1.8747006E7</v>
      </c>
    </row>
    <row r="122">
      <c r="A122" s="30">
        <v>51.46898</v>
      </c>
      <c r="B122" s="30">
        <v>25.174424</v>
      </c>
      <c r="C122" s="30" t="str">
        <f t="shared" si="1"/>
        <v>51.46898 25.174424</v>
      </c>
      <c r="D122" s="30">
        <v>56.0</v>
      </c>
      <c r="E122" s="36" t="s">
        <v>479</v>
      </c>
      <c r="F122" s="32" t="s">
        <v>600</v>
      </c>
      <c r="G122" s="30" t="s">
        <v>190</v>
      </c>
      <c r="H122" s="33">
        <v>46088.0</v>
      </c>
      <c r="I122" s="41">
        <v>1372958.0</v>
      </c>
      <c r="J122" s="30" t="s">
        <v>601</v>
      </c>
      <c r="K122" s="34" t="s">
        <v>252</v>
      </c>
      <c r="L122" s="30" t="s">
        <v>320</v>
      </c>
      <c r="M122" s="30">
        <v>3.0</v>
      </c>
      <c r="N122" s="30" t="s">
        <v>216</v>
      </c>
      <c r="O122" s="30" t="s">
        <v>194</v>
      </c>
      <c r="P122" s="30">
        <v>160.0</v>
      </c>
      <c r="Q122" s="30" t="s">
        <v>221</v>
      </c>
      <c r="R122" s="30" t="s">
        <v>222</v>
      </c>
      <c r="S122" s="30" t="s">
        <v>197</v>
      </c>
      <c r="T122" s="30" t="s">
        <v>602</v>
      </c>
      <c r="U122" s="30">
        <v>1.8747007E7</v>
      </c>
    </row>
    <row r="123">
      <c r="A123" s="30">
        <v>51.471026</v>
      </c>
      <c r="B123" s="30">
        <v>25.171525</v>
      </c>
      <c r="C123" s="30" t="str">
        <f t="shared" si="1"/>
        <v>51.471026 25.171525</v>
      </c>
      <c r="D123" s="30">
        <v>56.0</v>
      </c>
      <c r="E123" s="36" t="s">
        <v>603</v>
      </c>
      <c r="F123" s="32" t="s">
        <v>604</v>
      </c>
      <c r="G123" s="30" t="s">
        <v>190</v>
      </c>
      <c r="H123" s="33">
        <v>46087.0</v>
      </c>
      <c r="I123" s="30">
        <v>1372959.0</v>
      </c>
      <c r="J123" s="30" t="s">
        <v>605</v>
      </c>
      <c r="K123" s="34" t="s">
        <v>291</v>
      </c>
      <c r="L123" s="30" t="s">
        <v>195</v>
      </c>
      <c r="M123" s="30">
        <v>3.0</v>
      </c>
      <c r="N123" s="30" t="s">
        <v>216</v>
      </c>
      <c r="O123" s="30" t="s">
        <v>194</v>
      </c>
      <c r="P123" s="30">
        <v>160.0</v>
      </c>
      <c r="Q123" s="30" t="s">
        <v>195</v>
      </c>
      <c r="R123" s="30" t="s">
        <v>222</v>
      </c>
      <c r="S123" s="30" t="s">
        <v>197</v>
      </c>
      <c r="T123" s="30" t="s">
        <v>606</v>
      </c>
      <c r="U123" s="30">
        <v>1.8747008E7</v>
      </c>
    </row>
    <row r="124">
      <c r="A124" s="30">
        <v>51.457953</v>
      </c>
      <c r="B124" s="30">
        <v>25.18947</v>
      </c>
      <c r="C124" s="30" t="str">
        <f t="shared" si="1"/>
        <v>51.457953 25.18947</v>
      </c>
      <c r="D124" s="30">
        <v>57.0</v>
      </c>
      <c r="E124" s="36" t="s">
        <v>440</v>
      </c>
      <c r="F124" s="32" t="s">
        <v>607</v>
      </c>
      <c r="G124" s="30" t="s">
        <v>190</v>
      </c>
      <c r="H124" s="33">
        <v>46088.0</v>
      </c>
      <c r="I124" s="30">
        <v>1370865.0</v>
      </c>
      <c r="J124" s="30" t="s">
        <v>590</v>
      </c>
      <c r="K124" s="37" t="s">
        <v>202</v>
      </c>
      <c r="L124" s="30" t="s">
        <v>195</v>
      </c>
      <c r="M124" s="30">
        <v>2.0</v>
      </c>
      <c r="N124" s="30" t="s">
        <v>216</v>
      </c>
      <c r="O124" s="30" t="s">
        <v>194</v>
      </c>
      <c r="P124" s="30">
        <v>160.0</v>
      </c>
      <c r="Q124" s="30" t="s">
        <v>195</v>
      </c>
      <c r="R124" s="30" t="s">
        <v>222</v>
      </c>
      <c r="S124" s="30" t="s">
        <v>197</v>
      </c>
      <c r="T124" s="30" t="s">
        <v>608</v>
      </c>
      <c r="U124" s="30">
        <v>1.8747009E7</v>
      </c>
    </row>
    <row r="125">
      <c r="A125" s="30">
        <v>51.462734</v>
      </c>
      <c r="B125" s="30">
        <v>25.491992</v>
      </c>
      <c r="C125" s="30" t="str">
        <f t="shared" si="1"/>
        <v>51.462734 25.491992</v>
      </c>
      <c r="D125" s="30">
        <v>70.0</v>
      </c>
      <c r="E125" s="36" t="s">
        <v>609</v>
      </c>
      <c r="F125" s="32" t="s">
        <v>610</v>
      </c>
      <c r="G125" s="30" t="s">
        <v>190</v>
      </c>
      <c r="H125" s="33">
        <v>46096.0</v>
      </c>
      <c r="I125" s="30">
        <v>1346382.0</v>
      </c>
      <c r="J125" s="30" t="s">
        <v>611</v>
      </c>
      <c r="K125" s="43" t="s">
        <v>202</v>
      </c>
      <c r="L125" s="35"/>
      <c r="M125" s="30">
        <v>3.0</v>
      </c>
      <c r="N125" s="30" t="s">
        <v>193</v>
      </c>
      <c r="O125" s="30" t="s">
        <v>194</v>
      </c>
      <c r="P125" s="30">
        <v>160.0</v>
      </c>
      <c r="Q125" s="30" t="s">
        <v>221</v>
      </c>
      <c r="R125" s="30" t="s">
        <v>222</v>
      </c>
      <c r="S125" s="30" t="s">
        <v>197</v>
      </c>
      <c r="T125" s="30" t="s">
        <v>612</v>
      </c>
      <c r="U125" s="30">
        <v>1.9745172E7</v>
      </c>
    </row>
    <row r="126">
      <c r="A126" s="30">
        <v>51.468959</v>
      </c>
      <c r="B126" s="30">
        <v>25.484453</v>
      </c>
      <c r="C126" s="30" t="str">
        <f t="shared" si="1"/>
        <v>51.468959 25.484453</v>
      </c>
      <c r="D126" s="30">
        <v>70.0</v>
      </c>
      <c r="E126" s="36" t="s">
        <v>613</v>
      </c>
      <c r="F126" s="32" t="s">
        <v>614</v>
      </c>
      <c r="G126" s="30" t="s">
        <v>190</v>
      </c>
      <c r="H126" s="33">
        <v>46091.0</v>
      </c>
      <c r="I126" s="30">
        <v>1348449.0</v>
      </c>
      <c r="J126" s="30" t="s">
        <v>201</v>
      </c>
      <c r="K126" s="37" t="s">
        <v>202</v>
      </c>
      <c r="L126" s="30" t="s">
        <v>195</v>
      </c>
      <c r="M126" s="30">
        <v>3.0</v>
      </c>
      <c r="N126" s="30" t="s">
        <v>193</v>
      </c>
      <c r="O126" s="30" t="s">
        <v>194</v>
      </c>
      <c r="P126" s="30">
        <v>160.0</v>
      </c>
      <c r="Q126" s="30" t="s">
        <v>221</v>
      </c>
      <c r="R126" s="30" t="s">
        <v>222</v>
      </c>
      <c r="S126" s="30" t="s">
        <v>197</v>
      </c>
      <c r="T126" s="30" t="s">
        <v>615</v>
      </c>
      <c r="U126" s="30">
        <v>1.9745171E7</v>
      </c>
    </row>
    <row r="127">
      <c r="A127" s="30">
        <v>51.457929</v>
      </c>
      <c r="B127" s="30">
        <v>25.499858</v>
      </c>
      <c r="C127" s="30" t="str">
        <f t="shared" si="1"/>
        <v>51.457929 25.499858</v>
      </c>
      <c r="D127" s="30">
        <v>70.0</v>
      </c>
      <c r="E127" s="36" t="s">
        <v>616</v>
      </c>
      <c r="F127" s="32" t="s">
        <v>617</v>
      </c>
      <c r="G127" s="30" t="s">
        <v>190</v>
      </c>
      <c r="H127" s="33">
        <v>46096.0</v>
      </c>
      <c r="I127" s="30">
        <v>1363786.0</v>
      </c>
      <c r="J127" s="30" t="s">
        <v>618</v>
      </c>
      <c r="K127" s="43" t="s">
        <v>202</v>
      </c>
      <c r="L127" s="35"/>
      <c r="M127" s="30">
        <v>3.0</v>
      </c>
      <c r="N127" s="30" t="s">
        <v>193</v>
      </c>
      <c r="O127" s="30" t="s">
        <v>194</v>
      </c>
      <c r="P127" s="30">
        <v>160.0</v>
      </c>
      <c r="Q127" s="30" t="s">
        <v>221</v>
      </c>
      <c r="R127" s="30" t="s">
        <v>222</v>
      </c>
      <c r="S127" s="30" t="s">
        <v>197</v>
      </c>
      <c r="T127" s="30" t="s">
        <v>619</v>
      </c>
      <c r="U127" s="30">
        <v>1.9745173E7</v>
      </c>
    </row>
    <row r="128">
      <c r="A128" s="30">
        <v>51.454629</v>
      </c>
      <c r="B128" s="30">
        <v>25.507876</v>
      </c>
      <c r="C128" s="30" t="str">
        <f t="shared" si="1"/>
        <v>51.454629 25.507876</v>
      </c>
      <c r="D128" s="30">
        <v>70.0</v>
      </c>
      <c r="E128" s="36" t="s">
        <v>620</v>
      </c>
      <c r="F128" s="32" t="s">
        <v>621</v>
      </c>
      <c r="G128" s="30" t="s">
        <v>190</v>
      </c>
      <c r="H128" s="33">
        <v>46096.0</v>
      </c>
      <c r="I128" s="30">
        <v>1348287.0</v>
      </c>
      <c r="J128" s="30" t="s">
        <v>622</v>
      </c>
      <c r="K128" s="43" t="s">
        <v>202</v>
      </c>
      <c r="L128" s="35"/>
      <c r="M128" s="30">
        <v>3.0</v>
      </c>
      <c r="N128" s="30" t="s">
        <v>193</v>
      </c>
      <c r="O128" s="30" t="s">
        <v>194</v>
      </c>
      <c r="P128" s="30">
        <v>160.0</v>
      </c>
      <c r="Q128" s="30" t="s">
        <v>221</v>
      </c>
      <c r="R128" s="30" t="s">
        <v>222</v>
      </c>
      <c r="S128" s="30" t="s">
        <v>197</v>
      </c>
      <c r="T128" s="30" t="s">
        <v>623</v>
      </c>
      <c r="U128" s="30">
        <v>1.9745174E7</v>
      </c>
    </row>
    <row r="129">
      <c r="A129" s="30">
        <v>51.450691</v>
      </c>
      <c r="B129" s="30">
        <v>25.515484</v>
      </c>
      <c r="C129" s="30" t="str">
        <f t="shared" si="1"/>
        <v>51.450691 25.515484</v>
      </c>
      <c r="D129" s="30">
        <v>70.0</v>
      </c>
      <c r="E129" s="36" t="s">
        <v>624</v>
      </c>
      <c r="F129" s="32" t="s">
        <v>625</v>
      </c>
      <c r="G129" s="30" t="s">
        <v>190</v>
      </c>
      <c r="H129" s="33">
        <v>46096.0</v>
      </c>
      <c r="I129" s="30">
        <v>1348286.0</v>
      </c>
      <c r="J129" s="30" t="s">
        <v>626</v>
      </c>
      <c r="K129" s="43" t="s">
        <v>202</v>
      </c>
      <c r="L129" s="35"/>
      <c r="M129" s="30">
        <v>3.0</v>
      </c>
      <c r="N129" s="30" t="s">
        <v>193</v>
      </c>
      <c r="O129" s="30" t="s">
        <v>194</v>
      </c>
      <c r="P129" s="30">
        <v>160.0</v>
      </c>
      <c r="Q129" s="30" t="s">
        <v>221</v>
      </c>
      <c r="R129" s="30" t="s">
        <v>222</v>
      </c>
      <c r="S129" s="30" t="s">
        <v>197</v>
      </c>
      <c r="T129" s="30" t="s">
        <v>627</v>
      </c>
      <c r="U129" s="30">
        <v>1.9745175E7</v>
      </c>
    </row>
    <row r="130">
      <c r="A130" s="30">
        <v>51.4474</v>
      </c>
      <c r="B130" s="30">
        <v>25.525206</v>
      </c>
      <c r="C130" s="30" t="str">
        <f t="shared" si="1"/>
        <v>51.4474 25.525206</v>
      </c>
      <c r="D130" s="30">
        <v>70.0</v>
      </c>
      <c r="E130" s="36" t="s">
        <v>628</v>
      </c>
      <c r="F130" s="32" t="s">
        <v>629</v>
      </c>
      <c r="G130" s="30" t="s">
        <v>190</v>
      </c>
      <c r="H130" s="33">
        <v>46096.0</v>
      </c>
      <c r="I130" s="30">
        <v>1348287.0</v>
      </c>
      <c r="J130" s="30" t="s">
        <v>630</v>
      </c>
      <c r="K130" s="43" t="s">
        <v>202</v>
      </c>
      <c r="L130" s="35"/>
      <c r="M130" s="30">
        <v>3.0</v>
      </c>
      <c r="N130" s="30" t="s">
        <v>193</v>
      </c>
      <c r="O130" s="30" t="s">
        <v>194</v>
      </c>
      <c r="P130" s="30">
        <v>160.0</v>
      </c>
      <c r="Q130" s="30" t="s">
        <v>221</v>
      </c>
      <c r="R130" s="30" t="s">
        <v>222</v>
      </c>
      <c r="S130" s="30" t="s">
        <v>197</v>
      </c>
      <c r="T130" s="30" t="s">
        <v>631</v>
      </c>
      <c r="U130" s="30">
        <v>1.9745176E7</v>
      </c>
    </row>
    <row r="131">
      <c r="A131" s="30">
        <v>51.507675</v>
      </c>
      <c r="B131" s="30">
        <v>25.222864</v>
      </c>
      <c r="C131" s="30" t="str">
        <f t="shared" si="1"/>
        <v>51.507675 25.222864</v>
      </c>
      <c r="D131" s="30">
        <v>56.0</v>
      </c>
      <c r="E131" s="36" t="s">
        <v>632</v>
      </c>
      <c r="F131" s="32" t="s">
        <v>633</v>
      </c>
      <c r="G131" s="30" t="s">
        <v>190</v>
      </c>
      <c r="H131" s="55">
        <v>46090.0</v>
      </c>
      <c r="I131" s="30" t="s">
        <v>634</v>
      </c>
      <c r="J131" s="32" t="s">
        <v>635</v>
      </c>
      <c r="K131" s="43" t="s">
        <v>202</v>
      </c>
      <c r="L131" s="34" t="s">
        <v>195</v>
      </c>
      <c r="M131" s="30">
        <v>3.0</v>
      </c>
      <c r="N131" s="30" t="s">
        <v>356</v>
      </c>
      <c r="O131" s="30" t="s">
        <v>194</v>
      </c>
      <c r="P131" s="30">
        <v>160.0</v>
      </c>
      <c r="Q131" s="30" t="s">
        <v>221</v>
      </c>
      <c r="R131" s="30" t="s">
        <v>222</v>
      </c>
      <c r="S131" s="30" t="s">
        <v>197</v>
      </c>
      <c r="T131" s="30" t="s">
        <v>636</v>
      </c>
      <c r="U131" s="30">
        <v>1.5717629E7</v>
      </c>
    </row>
    <row r="132">
      <c r="A132" s="30">
        <v>51.499726</v>
      </c>
      <c r="B132" s="30">
        <v>25.214818</v>
      </c>
      <c r="C132" s="30" t="str">
        <f t="shared" si="1"/>
        <v>51.499726 25.214818</v>
      </c>
      <c r="D132" s="30">
        <v>56.0</v>
      </c>
      <c r="E132" s="36" t="s">
        <v>509</v>
      </c>
      <c r="F132" s="32" t="s">
        <v>637</v>
      </c>
      <c r="G132" s="30" t="s">
        <v>190</v>
      </c>
      <c r="H132" s="33">
        <v>46092.0</v>
      </c>
      <c r="I132" s="30">
        <v>1263744.0</v>
      </c>
      <c r="J132" s="30" t="s">
        <v>569</v>
      </c>
      <c r="K132" s="43" t="s">
        <v>202</v>
      </c>
      <c r="L132" s="34" t="s">
        <v>195</v>
      </c>
      <c r="M132" s="30">
        <v>3.0</v>
      </c>
      <c r="N132" s="30" t="s">
        <v>356</v>
      </c>
      <c r="O132" s="30" t="s">
        <v>194</v>
      </c>
      <c r="P132" s="30">
        <v>160.0</v>
      </c>
      <c r="Q132" s="30" t="s">
        <v>221</v>
      </c>
      <c r="R132" s="30" t="s">
        <v>222</v>
      </c>
      <c r="S132" s="30" t="s">
        <v>197</v>
      </c>
      <c r="T132" s="30" t="s">
        <v>638</v>
      </c>
      <c r="U132" s="30">
        <v>1.571765E7</v>
      </c>
    </row>
    <row r="133">
      <c r="A133" s="30">
        <v>51.452245</v>
      </c>
      <c r="B133" s="30">
        <v>25.190731</v>
      </c>
      <c r="C133" s="30" t="str">
        <f t="shared" si="1"/>
        <v>51.452245 25.190731</v>
      </c>
      <c r="D133" s="30">
        <v>57.0</v>
      </c>
      <c r="E133" s="39" t="s">
        <v>639</v>
      </c>
      <c r="F133" s="32" t="s">
        <v>640</v>
      </c>
      <c r="G133" s="30" t="s">
        <v>190</v>
      </c>
      <c r="H133" s="33">
        <v>46085.0</v>
      </c>
      <c r="I133" s="41">
        <v>1241915.0</v>
      </c>
      <c r="J133" s="30" t="s">
        <v>201</v>
      </c>
      <c r="K133" s="43" t="s">
        <v>202</v>
      </c>
      <c r="L133" s="34" t="s">
        <v>195</v>
      </c>
      <c r="M133" s="30">
        <v>3.0</v>
      </c>
      <c r="N133" s="30" t="s">
        <v>356</v>
      </c>
      <c r="O133" s="30" t="s">
        <v>194</v>
      </c>
      <c r="P133" s="30">
        <v>160.0</v>
      </c>
      <c r="Q133" s="30" t="s">
        <v>221</v>
      </c>
      <c r="R133" s="30" t="s">
        <v>222</v>
      </c>
      <c r="S133" s="30" t="s">
        <v>197</v>
      </c>
      <c r="T133" s="30" t="s">
        <v>641</v>
      </c>
      <c r="U133" s="30">
        <v>1.5717769E7</v>
      </c>
    </row>
    <row r="134">
      <c r="A134" s="30">
        <v>51.512629</v>
      </c>
      <c r="B134" s="30">
        <v>25.227878</v>
      </c>
      <c r="C134" s="30" t="str">
        <f t="shared" si="1"/>
        <v>51.512629 25.227878</v>
      </c>
      <c r="D134" s="30">
        <v>56.0</v>
      </c>
      <c r="E134" s="36" t="s">
        <v>642</v>
      </c>
      <c r="F134" s="32" t="s">
        <v>643</v>
      </c>
      <c r="G134" s="30" t="s">
        <v>190</v>
      </c>
      <c r="H134" s="33">
        <v>46092.0</v>
      </c>
      <c r="I134" s="30">
        <v>1233403.0</v>
      </c>
      <c r="J134" s="30" t="s">
        <v>644</v>
      </c>
      <c r="K134" s="34" t="s">
        <v>645</v>
      </c>
      <c r="L134" s="30" t="s">
        <v>195</v>
      </c>
      <c r="M134" s="30">
        <v>3.0</v>
      </c>
      <c r="N134" s="30" t="s">
        <v>465</v>
      </c>
      <c r="O134" s="30" t="s">
        <v>194</v>
      </c>
      <c r="P134" s="30">
        <v>160.0</v>
      </c>
      <c r="Q134" s="30" t="s">
        <v>221</v>
      </c>
      <c r="R134" s="30" t="s">
        <v>222</v>
      </c>
      <c r="S134" s="30" t="s">
        <v>197</v>
      </c>
      <c r="T134" s="30" t="s">
        <v>646</v>
      </c>
      <c r="U134" s="30">
        <v>1.571777E7</v>
      </c>
    </row>
    <row r="135">
      <c r="A135" s="30">
        <v>51.512783</v>
      </c>
      <c r="B135" s="30">
        <v>25.229522</v>
      </c>
      <c r="C135" s="30" t="str">
        <f t="shared" si="1"/>
        <v>51.512783 25.229522</v>
      </c>
      <c r="D135" s="30">
        <v>56.0</v>
      </c>
      <c r="E135" s="61" t="s">
        <v>440</v>
      </c>
      <c r="F135" s="40" t="s">
        <v>201</v>
      </c>
      <c r="G135" s="57" t="s">
        <v>190</v>
      </c>
      <c r="H135" s="33">
        <v>46107.0</v>
      </c>
      <c r="I135" s="30" t="s">
        <v>201</v>
      </c>
      <c r="J135" s="30" t="s">
        <v>201</v>
      </c>
      <c r="K135" s="62" t="s">
        <v>252</v>
      </c>
      <c r="L135" s="63"/>
      <c r="M135" s="30">
        <v>3.0</v>
      </c>
      <c r="N135" s="57" t="s">
        <v>356</v>
      </c>
      <c r="O135" s="30" t="s">
        <v>194</v>
      </c>
      <c r="P135" s="30">
        <v>160.0</v>
      </c>
      <c r="Q135" s="30" t="s">
        <v>195</v>
      </c>
      <c r="R135" s="30" t="s">
        <v>196</v>
      </c>
      <c r="S135" s="30" t="s">
        <v>197</v>
      </c>
      <c r="T135" s="30" t="s">
        <v>647</v>
      </c>
      <c r="U135" s="30">
        <v>1.5717721E7</v>
      </c>
    </row>
    <row r="136">
      <c r="A136" s="30">
        <v>51.515697</v>
      </c>
      <c r="B136" s="30">
        <v>25.23172</v>
      </c>
      <c r="C136" s="30" t="str">
        <f t="shared" si="1"/>
        <v>51.515697 25.23172</v>
      </c>
      <c r="D136" s="30">
        <v>56.0</v>
      </c>
      <c r="E136" s="36" t="s">
        <v>648</v>
      </c>
      <c r="F136" s="32" t="s">
        <v>568</v>
      </c>
      <c r="G136" s="30" t="s">
        <v>190</v>
      </c>
      <c r="H136" s="33">
        <v>46091.0</v>
      </c>
      <c r="I136" s="30" t="s">
        <v>201</v>
      </c>
      <c r="J136" s="30" t="s">
        <v>649</v>
      </c>
      <c r="K136" s="34" t="s">
        <v>650</v>
      </c>
      <c r="L136" s="35"/>
      <c r="M136" s="30">
        <v>4.0</v>
      </c>
      <c r="N136" s="30" t="s">
        <v>651</v>
      </c>
      <c r="O136" s="30" t="s">
        <v>194</v>
      </c>
      <c r="P136" s="30">
        <v>160.0</v>
      </c>
      <c r="Q136" s="30" t="s">
        <v>221</v>
      </c>
      <c r="R136" s="30" t="s">
        <v>222</v>
      </c>
      <c r="S136" s="30" t="s">
        <v>197</v>
      </c>
      <c r="T136" s="30" t="s">
        <v>652</v>
      </c>
      <c r="U136" s="30">
        <v>1.5717695E7</v>
      </c>
    </row>
    <row r="137">
      <c r="A137" s="30">
        <v>51.504995</v>
      </c>
      <c r="B137" s="30">
        <v>25.229954</v>
      </c>
      <c r="C137" s="30" t="str">
        <f t="shared" si="1"/>
        <v>51.504995 25.229954</v>
      </c>
      <c r="D137" s="30">
        <v>56.0</v>
      </c>
      <c r="E137" s="36" t="s">
        <v>471</v>
      </c>
      <c r="F137" s="59" t="s">
        <v>653</v>
      </c>
      <c r="G137" s="37" t="s">
        <v>190</v>
      </c>
      <c r="H137" s="33">
        <v>46088.0</v>
      </c>
      <c r="I137" s="37">
        <v>1226577.0</v>
      </c>
      <c r="J137" s="30" t="s">
        <v>201</v>
      </c>
      <c r="K137" s="43" t="s">
        <v>202</v>
      </c>
      <c r="L137" s="34" t="s">
        <v>195</v>
      </c>
      <c r="M137" s="30">
        <v>3.0</v>
      </c>
      <c r="N137" s="30" t="s">
        <v>356</v>
      </c>
      <c r="O137" s="30" t="s">
        <v>194</v>
      </c>
      <c r="P137" s="30">
        <v>160.0</v>
      </c>
      <c r="Q137" s="30" t="s">
        <v>446</v>
      </c>
      <c r="R137" s="30" t="s">
        <v>254</v>
      </c>
      <c r="S137" s="30" t="s">
        <v>197</v>
      </c>
      <c r="T137" s="30" t="s">
        <v>654</v>
      </c>
      <c r="U137" s="30">
        <v>1.5717771E7</v>
      </c>
    </row>
    <row r="138">
      <c r="A138" s="30">
        <v>51.503349</v>
      </c>
      <c r="B138" s="30">
        <v>25.232037</v>
      </c>
      <c r="C138" s="30" t="str">
        <f t="shared" si="1"/>
        <v>51.503349 25.232037</v>
      </c>
      <c r="D138" s="30">
        <v>56.0</v>
      </c>
      <c r="E138" s="36" t="s">
        <v>655</v>
      </c>
      <c r="F138" s="32" t="s">
        <v>656</v>
      </c>
      <c r="G138" s="30" t="s">
        <v>657</v>
      </c>
      <c r="H138" s="33">
        <v>46102.0</v>
      </c>
      <c r="I138" s="30">
        <v>1276472.0</v>
      </c>
      <c r="J138" s="30" t="s">
        <v>658</v>
      </c>
      <c r="K138" s="34" t="s">
        <v>192</v>
      </c>
      <c r="L138" s="35"/>
      <c r="M138" s="30">
        <v>3.0</v>
      </c>
      <c r="N138" s="30" t="s">
        <v>193</v>
      </c>
      <c r="O138" s="30" t="s">
        <v>194</v>
      </c>
      <c r="P138" s="30">
        <v>160.0</v>
      </c>
      <c r="Q138" s="30" t="s">
        <v>195</v>
      </c>
      <c r="R138" s="30" t="s">
        <v>222</v>
      </c>
      <c r="S138" s="30" t="s">
        <v>197</v>
      </c>
      <c r="T138" s="30" t="s">
        <v>659</v>
      </c>
      <c r="U138" s="30">
        <v>1.571763E7</v>
      </c>
    </row>
    <row r="139">
      <c r="A139" s="30">
        <v>51.506288</v>
      </c>
      <c r="B139" s="30">
        <v>25.230162</v>
      </c>
      <c r="C139" s="30" t="str">
        <f t="shared" si="1"/>
        <v>51.506288 25.230162</v>
      </c>
      <c r="D139" s="30">
        <v>56.0</v>
      </c>
      <c r="E139" s="36" t="s">
        <v>260</v>
      </c>
      <c r="F139" s="59" t="s">
        <v>660</v>
      </c>
      <c r="G139" s="37" t="s">
        <v>190</v>
      </c>
      <c r="H139" s="33">
        <v>46088.0</v>
      </c>
      <c r="I139" s="37">
        <v>1233405.0</v>
      </c>
      <c r="J139" s="30" t="s">
        <v>201</v>
      </c>
      <c r="K139" s="43" t="s">
        <v>202</v>
      </c>
      <c r="L139" s="34" t="s">
        <v>195</v>
      </c>
      <c r="M139" s="30">
        <v>3.0</v>
      </c>
      <c r="N139" s="30" t="s">
        <v>356</v>
      </c>
      <c r="O139" s="30" t="s">
        <v>194</v>
      </c>
      <c r="P139" s="30">
        <v>160.0</v>
      </c>
      <c r="Q139" s="30" t="s">
        <v>221</v>
      </c>
      <c r="R139" s="30" t="s">
        <v>222</v>
      </c>
      <c r="S139" s="30" t="s">
        <v>197</v>
      </c>
      <c r="T139" s="30" t="s">
        <v>661</v>
      </c>
      <c r="U139" s="30">
        <v>1.5717722E7</v>
      </c>
    </row>
    <row r="140">
      <c r="A140" s="30">
        <v>51.508159</v>
      </c>
      <c r="B140" s="30">
        <v>25.227526</v>
      </c>
      <c r="C140" s="30" t="str">
        <f t="shared" si="1"/>
        <v>51.508159 25.227526</v>
      </c>
      <c r="D140" s="30">
        <v>56.0</v>
      </c>
      <c r="E140" s="36" t="s">
        <v>662</v>
      </c>
      <c r="F140" s="32" t="s">
        <v>663</v>
      </c>
      <c r="G140" s="30" t="s">
        <v>190</v>
      </c>
      <c r="H140" s="33">
        <v>46073.0</v>
      </c>
      <c r="I140" s="30">
        <v>1276935.0</v>
      </c>
      <c r="J140" s="30" t="s">
        <v>201</v>
      </c>
      <c r="K140" s="34" t="s">
        <v>202</v>
      </c>
      <c r="L140" s="35"/>
      <c r="M140" s="30">
        <v>3.0</v>
      </c>
      <c r="N140" s="30" t="s">
        <v>356</v>
      </c>
      <c r="O140" s="30" t="s">
        <v>194</v>
      </c>
      <c r="P140" s="30">
        <v>160.0</v>
      </c>
      <c r="Q140" s="30" t="s">
        <v>195</v>
      </c>
      <c r="R140" s="30" t="s">
        <v>196</v>
      </c>
      <c r="S140" s="30" t="s">
        <v>197</v>
      </c>
      <c r="T140" s="30" t="s">
        <v>664</v>
      </c>
      <c r="U140" s="30">
        <v>1.5717772E7</v>
      </c>
    </row>
    <row r="141">
      <c r="A141" s="30">
        <v>51.508555</v>
      </c>
      <c r="B141" s="30">
        <v>25.22577</v>
      </c>
      <c r="C141" s="30" t="str">
        <f t="shared" si="1"/>
        <v>51.508555 25.22577</v>
      </c>
      <c r="D141" s="30">
        <v>56.0</v>
      </c>
      <c r="E141" s="36" t="s">
        <v>665</v>
      </c>
      <c r="F141" s="32" t="s">
        <v>666</v>
      </c>
      <c r="G141" s="30" t="s">
        <v>190</v>
      </c>
      <c r="H141" s="33">
        <v>46092.0</v>
      </c>
      <c r="I141" s="30" t="s">
        <v>201</v>
      </c>
      <c r="J141" s="30" t="s">
        <v>575</v>
      </c>
      <c r="K141" s="43" t="s">
        <v>202</v>
      </c>
      <c r="L141" s="34" t="s">
        <v>195</v>
      </c>
      <c r="M141" s="30">
        <v>3.0</v>
      </c>
      <c r="N141" s="30" t="s">
        <v>356</v>
      </c>
      <c r="O141" s="30" t="s">
        <v>194</v>
      </c>
      <c r="P141" s="30">
        <v>160.0</v>
      </c>
      <c r="Q141" s="30" t="s">
        <v>221</v>
      </c>
      <c r="R141" s="30" t="s">
        <v>222</v>
      </c>
      <c r="S141" s="30" t="s">
        <v>197</v>
      </c>
      <c r="T141" s="30" t="s">
        <v>667</v>
      </c>
      <c r="U141" s="30">
        <v>1.5717631E7</v>
      </c>
    </row>
    <row r="142">
      <c r="A142" s="30">
        <v>51.508216</v>
      </c>
      <c r="B142" s="30">
        <v>25.232562</v>
      </c>
      <c r="C142" s="30" t="str">
        <f t="shared" si="1"/>
        <v>51.508216 25.232562</v>
      </c>
      <c r="D142" s="30">
        <v>56.0</v>
      </c>
      <c r="E142" s="36" t="s">
        <v>668</v>
      </c>
      <c r="F142" s="32" t="s">
        <v>201</v>
      </c>
      <c r="G142" s="30" t="s">
        <v>303</v>
      </c>
      <c r="H142" s="33">
        <v>46073.0</v>
      </c>
      <c r="I142" s="30">
        <v>1226582.0</v>
      </c>
      <c r="J142" s="30" t="s">
        <v>649</v>
      </c>
      <c r="K142" s="34" t="s">
        <v>202</v>
      </c>
      <c r="L142" s="35"/>
      <c r="M142" s="30">
        <v>4.0</v>
      </c>
      <c r="N142" s="30" t="s">
        <v>356</v>
      </c>
      <c r="O142" s="30" t="s">
        <v>194</v>
      </c>
      <c r="P142" s="30">
        <v>160.0</v>
      </c>
      <c r="Q142" s="30" t="s">
        <v>221</v>
      </c>
      <c r="R142" s="30" t="s">
        <v>222</v>
      </c>
      <c r="S142" s="30" t="s">
        <v>197</v>
      </c>
      <c r="T142" s="30" t="s">
        <v>669</v>
      </c>
      <c r="U142" s="30">
        <v>1.5717723E7</v>
      </c>
    </row>
    <row r="143">
      <c r="A143" s="64">
        <v>51.447239</v>
      </c>
      <c r="B143" s="64">
        <v>25.533875</v>
      </c>
      <c r="C143" s="30" t="str">
        <f t="shared" si="1"/>
        <v>51.447239 25.533875</v>
      </c>
      <c r="D143" s="64">
        <v>70.0</v>
      </c>
      <c r="E143" s="65"/>
      <c r="F143" s="66"/>
      <c r="G143" s="45" t="s">
        <v>303</v>
      </c>
      <c r="H143" s="67">
        <v>46107.0</v>
      </c>
      <c r="I143" s="68"/>
      <c r="J143" s="64" t="s">
        <v>670</v>
      </c>
      <c r="K143" s="69"/>
      <c r="L143" s="35"/>
      <c r="M143" s="64">
        <v>0.0</v>
      </c>
      <c r="N143" s="70" t="s">
        <v>356</v>
      </c>
      <c r="O143" s="64" t="s">
        <v>194</v>
      </c>
      <c r="P143" s="64" t="s">
        <v>201</v>
      </c>
      <c r="Q143" s="64" t="s">
        <v>201</v>
      </c>
      <c r="R143" s="64" t="s">
        <v>201</v>
      </c>
      <c r="S143" s="64" t="s">
        <v>201</v>
      </c>
      <c r="T143" s="64" t="s">
        <v>671</v>
      </c>
      <c r="U143" s="64">
        <v>1.9745177E7</v>
      </c>
    </row>
    <row r="144">
      <c r="A144" s="30">
        <v>51.441683</v>
      </c>
      <c r="B144" s="30">
        <v>25.540335</v>
      </c>
      <c r="C144" s="30" t="str">
        <f t="shared" si="1"/>
        <v>51.441683 25.540335</v>
      </c>
      <c r="D144" s="30">
        <v>70.0</v>
      </c>
      <c r="E144" s="36" t="s">
        <v>289</v>
      </c>
      <c r="F144" s="32" t="s">
        <v>672</v>
      </c>
      <c r="G144" s="30" t="s">
        <v>190</v>
      </c>
      <c r="H144" s="33">
        <v>46099.0</v>
      </c>
      <c r="I144" s="30">
        <v>1.340851E7</v>
      </c>
      <c r="J144" s="30" t="s">
        <v>673</v>
      </c>
      <c r="K144" s="34" t="s">
        <v>291</v>
      </c>
      <c r="L144" s="35"/>
      <c r="M144" s="30">
        <v>3.0</v>
      </c>
      <c r="N144" s="30" t="s">
        <v>193</v>
      </c>
      <c r="O144" s="30" t="s">
        <v>194</v>
      </c>
      <c r="P144" s="30">
        <v>160.0</v>
      </c>
      <c r="Q144" s="30" t="s">
        <v>195</v>
      </c>
      <c r="R144" s="30" t="s">
        <v>196</v>
      </c>
      <c r="S144" s="30" t="s">
        <v>197</v>
      </c>
      <c r="T144" s="30" t="s">
        <v>674</v>
      </c>
      <c r="U144" s="30">
        <v>1.9745178E7</v>
      </c>
    </row>
    <row r="145">
      <c r="A145" s="30">
        <v>51.446998</v>
      </c>
      <c r="B145" s="30">
        <v>25.544017</v>
      </c>
      <c r="C145" s="30" t="str">
        <f t="shared" si="1"/>
        <v>51.446998 25.544017</v>
      </c>
      <c r="D145" s="30">
        <v>70.0</v>
      </c>
      <c r="E145" s="36" t="s">
        <v>675</v>
      </c>
      <c r="F145" s="32" t="s">
        <v>676</v>
      </c>
      <c r="G145" s="30" t="s">
        <v>190</v>
      </c>
      <c r="H145" s="33">
        <v>46095.0</v>
      </c>
      <c r="I145" s="30">
        <v>1368764.0</v>
      </c>
      <c r="J145" s="30" t="s">
        <v>677</v>
      </c>
      <c r="K145" s="34" t="s">
        <v>252</v>
      </c>
      <c r="L145" s="30" t="s">
        <v>195</v>
      </c>
      <c r="M145" s="30">
        <v>2.0</v>
      </c>
      <c r="N145" s="30" t="s">
        <v>193</v>
      </c>
      <c r="O145" s="30" t="s">
        <v>194</v>
      </c>
      <c r="P145" s="30">
        <v>160.0</v>
      </c>
      <c r="Q145" s="30" t="s">
        <v>221</v>
      </c>
      <c r="R145" s="30" t="s">
        <v>222</v>
      </c>
      <c r="S145" s="30" t="s">
        <v>197</v>
      </c>
      <c r="T145" s="30" t="s">
        <v>678</v>
      </c>
      <c r="U145" s="30">
        <v>1.9745179E7</v>
      </c>
    </row>
    <row r="146">
      <c r="A146" s="30">
        <v>51.449548</v>
      </c>
      <c r="B146" s="30">
        <v>25.549308</v>
      </c>
      <c r="C146" s="30" t="str">
        <f t="shared" si="1"/>
        <v>51.449548 25.549308</v>
      </c>
      <c r="D146" s="30">
        <v>70.0</v>
      </c>
      <c r="E146" s="36" t="s">
        <v>679</v>
      </c>
      <c r="F146" s="32" t="s">
        <v>680</v>
      </c>
      <c r="G146" s="30" t="s">
        <v>190</v>
      </c>
      <c r="H146" s="33">
        <v>46104.0</v>
      </c>
      <c r="I146" s="30">
        <v>1368761.0</v>
      </c>
      <c r="J146" s="30" t="s">
        <v>201</v>
      </c>
      <c r="K146" s="34" t="s">
        <v>202</v>
      </c>
      <c r="L146" s="35"/>
      <c r="M146" s="30">
        <v>3.0</v>
      </c>
      <c r="N146" s="30" t="s">
        <v>356</v>
      </c>
      <c r="O146" s="30" t="s">
        <v>194</v>
      </c>
      <c r="P146" s="30">
        <v>160.0</v>
      </c>
      <c r="Q146" s="30" t="s">
        <v>195</v>
      </c>
      <c r="R146" s="30" t="s">
        <v>222</v>
      </c>
      <c r="S146" s="30" t="s">
        <v>197</v>
      </c>
      <c r="T146" s="30" t="s">
        <v>681</v>
      </c>
      <c r="U146" s="30">
        <v>1.974518E7</v>
      </c>
    </row>
    <row r="147">
      <c r="A147" s="30">
        <v>51.450664</v>
      </c>
      <c r="B147" s="30">
        <v>25.552062</v>
      </c>
      <c r="C147" s="30" t="str">
        <f t="shared" si="1"/>
        <v>51.450664 25.552062</v>
      </c>
      <c r="D147" s="30">
        <v>70.0</v>
      </c>
      <c r="E147" s="36" t="s">
        <v>444</v>
      </c>
      <c r="F147" s="32" t="s">
        <v>682</v>
      </c>
      <c r="G147" s="30" t="s">
        <v>190</v>
      </c>
      <c r="H147" s="33">
        <v>46104.0</v>
      </c>
      <c r="I147" s="30">
        <v>1363642.0</v>
      </c>
      <c r="J147" s="30" t="s">
        <v>201</v>
      </c>
      <c r="K147" s="34" t="s">
        <v>202</v>
      </c>
      <c r="L147" s="35"/>
      <c r="M147" s="30">
        <v>3.0</v>
      </c>
      <c r="N147" s="30" t="s">
        <v>356</v>
      </c>
      <c r="O147" s="30" t="s">
        <v>194</v>
      </c>
      <c r="P147" s="30">
        <v>160.0</v>
      </c>
      <c r="Q147" s="30" t="s">
        <v>195</v>
      </c>
      <c r="R147" s="30" t="s">
        <v>222</v>
      </c>
      <c r="S147" s="30" t="s">
        <v>197</v>
      </c>
      <c r="T147" s="30" t="s">
        <v>683</v>
      </c>
      <c r="U147" s="30">
        <v>1.9745181E7</v>
      </c>
    </row>
    <row r="148">
      <c r="A148" s="30">
        <v>51.450545</v>
      </c>
      <c r="B148" s="30">
        <v>25.554191</v>
      </c>
      <c r="C148" s="30" t="str">
        <f t="shared" si="1"/>
        <v>51.450545 25.554191</v>
      </c>
      <c r="D148" s="30">
        <v>70.0</v>
      </c>
      <c r="E148" s="36" t="s">
        <v>684</v>
      </c>
      <c r="F148" s="32" t="s">
        <v>685</v>
      </c>
      <c r="G148" s="30" t="s">
        <v>190</v>
      </c>
      <c r="H148" s="33">
        <v>46095.0</v>
      </c>
      <c r="I148" s="30">
        <v>1348511.0</v>
      </c>
      <c r="J148" s="30" t="s">
        <v>686</v>
      </c>
      <c r="K148" s="34" t="s">
        <v>252</v>
      </c>
      <c r="L148" s="30" t="s">
        <v>195</v>
      </c>
      <c r="M148" s="30">
        <v>2.0</v>
      </c>
      <c r="N148" s="30" t="s">
        <v>193</v>
      </c>
      <c r="O148" s="30" t="s">
        <v>194</v>
      </c>
      <c r="P148" s="30">
        <v>160.0</v>
      </c>
      <c r="Q148" s="30" t="s">
        <v>221</v>
      </c>
      <c r="R148" s="30" t="s">
        <v>222</v>
      </c>
      <c r="S148" s="30" t="s">
        <v>197</v>
      </c>
      <c r="T148" s="30" t="s">
        <v>687</v>
      </c>
      <c r="U148" s="30">
        <v>1.9745182E7</v>
      </c>
    </row>
    <row r="149">
      <c r="A149" s="30">
        <v>51.452699</v>
      </c>
      <c r="B149" s="30">
        <v>25.556135</v>
      </c>
      <c r="C149" s="30" t="str">
        <f t="shared" si="1"/>
        <v>51.452699 25.556135</v>
      </c>
      <c r="D149" s="30">
        <v>70.0</v>
      </c>
      <c r="E149" s="36" t="s">
        <v>199</v>
      </c>
      <c r="F149" s="32" t="s">
        <v>688</v>
      </c>
      <c r="G149" s="30" t="s">
        <v>190</v>
      </c>
      <c r="H149" s="33">
        <v>46095.0</v>
      </c>
      <c r="I149" s="30">
        <v>1348512.0</v>
      </c>
      <c r="J149" s="30" t="s">
        <v>201</v>
      </c>
      <c r="K149" s="34" t="s">
        <v>202</v>
      </c>
      <c r="L149" s="35"/>
      <c r="M149" s="30">
        <v>3.0</v>
      </c>
      <c r="N149" s="30" t="s">
        <v>356</v>
      </c>
      <c r="O149" s="30" t="s">
        <v>194</v>
      </c>
      <c r="P149" s="30">
        <v>160.0</v>
      </c>
      <c r="Q149" s="30" t="s">
        <v>195</v>
      </c>
      <c r="R149" s="30" t="s">
        <v>196</v>
      </c>
      <c r="S149" s="30" t="s">
        <v>197</v>
      </c>
      <c r="T149" s="30" t="s">
        <v>689</v>
      </c>
      <c r="U149" s="30">
        <v>1.9745183E7</v>
      </c>
    </row>
    <row r="150">
      <c r="A150" s="30">
        <v>51.46467</v>
      </c>
      <c r="B150" s="30">
        <v>25.579341</v>
      </c>
      <c r="C150" s="30" t="str">
        <f t="shared" si="1"/>
        <v>51.46467 25.579341</v>
      </c>
      <c r="D150" s="30">
        <v>70.0</v>
      </c>
      <c r="E150" s="36" t="s">
        <v>385</v>
      </c>
      <c r="F150" s="32" t="s">
        <v>690</v>
      </c>
      <c r="G150" s="30" t="s">
        <v>190</v>
      </c>
      <c r="H150" s="33">
        <v>46095.0</v>
      </c>
      <c r="I150" s="30">
        <v>1346595.0</v>
      </c>
      <c r="J150" s="30" t="s">
        <v>691</v>
      </c>
      <c r="K150" s="43" t="s">
        <v>202</v>
      </c>
      <c r="L150" s="30" t="s">
        <v>195</v>
      </c>
      <c r="M150" s="30">
        <v>3.0</v>
      </c>
      <c r="N150" s="30" t="s">
        <v>465</v>
      </c>
      <c r="O150" s="30" t="s">
        <v>194</v>
      </c>
      <c r="P150" s="30">
        <v>160.0</v>
      </c>
      <c r="Q150" s="30" t="s">
        <v>221</v>
      </c>
      <c r="R150" s="30" t="s">
        <v>222</v>
      </c>
      <c r="S150" s="30" t="s">
        <v>197</v>
      </c>
      <c r="T150" s="30" t="s">
        <v>692</v>
      </c>
      <c r="U150" s="30">
        <v>1.9745184E7</v>
      </c>
    </row>
    <row r="151">
      <c r="A151" s="30">
        <v>51.461881</v>
      </c>
      <c r="B151" s="30">
        <v>25.574294</v>
      </c>
      <c r="C151" s="30" t="str">
        <f t="shared" si="1"/>
        <v>51.461881 25.574294</v>
      </c>
      <c r="D151" s="30">
        <v>70.0</v>
      </c>
      <c r="E151" s="36" t="s">
        <v>389</v>
      </c>
      <c r="F151" s="32" t="s">
        <v>693</v>
      </c>
      <c r="G151" s="30" t="s">
        <v>190</v>
      </c>
      <c r="H151" s="33">
        <v>46095.0</v>
      </c>
      <c r="I151" s="30">
        <v>1346594.0</v>
      </c>
      <c r="J151" s="30" t="s">
        <v>694</v>
      </c>
      <c r="K151" s="43" t="s">
        <v>202</v>
      </c>
      <c r="L151" s="30" t="s">
        <v>195</v>
      </c>
      <c r="M151" s="30">
        <v>3.0</v>
      </c>
      <c r="N151" s="30" t="s">
        <v>465</v>
      </c>
      <c r="O151" s="30" t="s">
        <v>194</v>
      </c>
      <c r="P151" s="30">
        <v>160.0</v>
      </c>
      <c r="Q151" s="30" t="s">
        <v>221</v>
      </c>
      <c r="R151" s="30" t="s">
        <v>222</v>
      </c>
      <c r="S151" s="30" t="s">
        <v>197</v>
      </c>
      <c r="T151" s="30" t="s">
        <v>695</v>
      </c>
      <c r="U151" s="30">
        <v>1.9745185E7</v>
      </c>
    </row>
    <row r="152">
      <c r="A152" s="30">
        <v>51.459293</v>
      </c>
      <c r="B152" s="30">
        <v>25.56972</v>
      </c>
      <c r="C152" s="30" t="str">
        <f t="shared" si="1"/>
        <v>51.459293 25.56972</v>
      </c>
      <c r="D152" s="30">
        <v>70.0</v>
      </c>
      <c r="E152" s="36" t="s">
        <v>696</v>
      </c>
      <c r="F152" s="32" t="s">
        <v>697</v>
      </c>
      <c r="G152" s="30" t="s">
        <v>190</v>
      </c>
      <c r="H152" s="33">
        <v>46097.0</v>
      </c>
      <c r="I152" s="30">
        <v>1346593.0</v>
      </c>
      <c r="J152" s="30" t="s">
        <v>698</v>
      </c>
      <c r="K152" s="30" t="s">
        <v>252</v>
      </c>
      <c r="L152" s="35"/>
      <c r="M152" s="30">
        <v>3.0</v>
      </c>
      <c r="N152" s="30" t="s">
        <v>465</v>
      </c>
      <c r="O152" s="30" t="s">
        <v>194</v>
      </c>
      <c r="P152" s="30">
        <v>160.0</v>
      </c>
      <c r="Q152" s="30" t="s">
        <v>221</v>
      </c>
      <c r="R152" s="30" t="s">
        <v>222</v>
      </c>
      <c r="S152" s="30" t="s">
        <v>197</v>
      </c>
      <c r="T152" s="30" t="s">
        <v>699</v>
      </c>
      <c r="U152" s="30">
        <v>1.9745186E7</v>
      </c>
    </row>
    <row r="153">
      <c r="A153" s="30">
        <v>51.456622</v>
      </c>
      <c r="B153" s="30">
        <v>25.564951</v>
      </c>
      <c r="C153" s="30" t="str">
        <f t="shared" si="1"/>
        <v>51.456622 25.564951</v>
      </c>
      <c r="D153" s="30">
        <v>70.0</v>
      </c>
      <c r="E153" s="36" t="s">
        <v>401</v>
      </c>
      <c r="F153" s="32" t="s">
        <v>700</v>
      </c>
      <c r="G153" s="30" t="s">
        <v>190</v>
      </c>
      <c r="H153" s="33">
        <v>46095.0</v>
      </c>
      <c r="I153" s="30">
        <v>1346591.0</v>
      </c>
      <c r="J153" s="30" t="s">
        <v>701</v>
      </c>
      <c r="K153" s="34" t="s">
        <v>252</v>
      </c>
      <c r="L153" s="30" t="s">
        <v>195</v>
      </c>
      <c r="M153" s="30">
        <v>2.0</v>
      </c>
      <c r="N153" s="30" t="s">
        <v>193</v>
      </c>
      <c r="O153" s="30" t="s">
        <v>194</v>
      </c>
      <c r="P153" s="30">
        <v>160.0</v>
      </c>
      <c r="Q153" s="30" t="s">
        <v>221</v>
      </c>
      <c r="R153" s="30" t="s">
        <v>222</v>
      </c>
      <c r="S153" s="30" t="s">
        <v>197</v>
      </c>
      <c r="T153" s="30" t="s">
        <v>702</v>
      </c>
      <c r="U153" s="30">
        <v>1.9745187E7</v>
      </c>
    </row>
    <row r="154">
      <c r="A154" s="30">
        <v>51.454735</v>
      </c>
      <c r="B154" s="30">
        <v>25.561634</v>
      </c>
      <c r="C154" s="30" t="str">
        <f t="shared" si="1"/>
        <v>51.454735 25.561634</v>
      </c>
      <c r="D154" s="30">
        <v>70.0</v>
      </c>
      <c r="E154" s="36" t="s">
        <v>703</v>
      </c>
      <c r="F154" s="32" t="s">
        <v>685</v>
      </c>
      <c r="G154" s="30" t="s">
        <v>190</v>
      </c>
      <c r="H154" s="33">
        <v>46095.0</v>
      </c>
      <c r="I154" s="30">
        <v>1346620.0</v>
      </c>
      <c r="J154" s="30" t="s">
        <v>704</v>
      </c>
      <c r="K154" s="34" t="s">
        <v>252</v>
      </c>
      <c r="L154" s="30" t="s">
        <v>195</v>
      </c>
      <c r="M154" s="30">
        <v>2.0</v>
      </c>
      <c r="N154" s="30" t="s">
        <v>193</v>
      </c>
      <c r="O154" s="30" t="s">
        <v>194</v>
      </c>
      <c r="P154" s="30">
        <v>160.0</v>
      </c>
      <c r="Q154" s="30" t="s">
        <v>195</v>
      </c>
      <c r="R154" s="30" t="s">
        <v>196</v>
      </c>
      <c r="S154" s="30" t="s">
        <v>197</v>
      </c>
      <c r="T154" s="30" t="s">
        <v>705</v>
      </c>
      <c r="U154" s="30">
        <v>1.9745188E7</v>
      </c>
    </row>
    <row r="155">
      <c r="A155" s="30">
        <v>51.452043</v>
      </c>
      <c r="B155" s="30">
        <v>25.568599</v>
      </c>
      <c r="C155" s="30" t="str">
        <f t="shared" si="1"/>
        <v>51.452043 25.568599</v>
      </c>
      <c r="D155" s="30">
        <v>70.0</v>
      </c>
      <c r="E155" s="36" t="s">
        <v>706</v>
      </c>
      <c r="F155" s="32" t="s">
        <v>707</v>
      </c>
      <c r="G155" s="30" t="s">
        <v>190</v>
      </c>
      <c r="H155" s="33">
        <v>46095.0</v>
      </c>
      <c r="I155" s="30">
        <v>1346619.0</v>
      </c>
      <c r="J155" s="30" t="s">
        <v>708</v>
      </c>
      <c r="K155" s="34" t="s">
        <v>252</v>
      </c>
      <c r="L155" s="35"/>
      <c r="M155" s="30">
        <v>3.0</v>
      </c>
      <c r="N155" s="30" t="s">
        <v>193</v>
      </c>
      <c r="O155" s="30" t="s">
        <v>194</v>
      </c>
      <c r="P155" s="30">
        <v>160.0</v>
      </c>
      <c r="Q155" s="30" t="s">
        <v>221</v>
      </c>
      <c r="R155" s="30" t="s">
        <v>222</v>
      </c>
      <c r="S155" s="30" t="s">
        <v>197</v>
      </c>
      <c r="T155" s="30" t="s">
        <v>709</v>
      </c>
      <c r="U155" s="30">
        <v>1.9745189E7</v>
      </c>
    </row>
    <row r="156">
      <c r="A156" s="30">
        <v>51.469656</v>
      </c>
      <c r="B156" s="30">
        <v>25.571005</v>
      </c>
      <c r="C156" s="30" t="str">
        <f t="shared" si="1"/>
        <v>51.469656 25.571005</v>
      </c>
      <c r="D156" s="30">
        <v>70.0</v>
      </c>
      <c r="E156" s="36" t="s">
        <v>710</v>
      </c>
      <c r="F156" s="32" t="s">
        <v>711</v>
      </c>
      <c r="G156" s="30" t="s">
        <v>190</v>
      </c>
      <c r="H156" s="33">
        <v>46095.0</v>
      </c>
      <c r="I156" s="30">
        <v>1346618.0</v>
      </c>
      <c r="J156" s="30" t="s">
        <v>694</v>
      </c>
      <c r="K156" s="43" t="s">
        <v>202</v>
      </c>
      <c r="L156" s="30" t="s">
        <v>195</v>
      </c>
      <c r="M156" s="30">
        <v>3.0</v>
      </c>
      <c r="N156" s="30" t="s">
        <v>465</v>
      </c>
      <c r="O156" s="30" t="s">
        <v>194</v>
      </c>
      <c r="P156" s="30">
        <v>160.0</v>
      </c>
      <c r="Q156" s="30" t="s">
        <v>221</v>
      </c>
      <c r="R156" s="30" t="s">
        <v>222</v>
      </c>
      <c r="S156" s="30" t="s">
        <v>197</v>
      </c>
      <c r="T156" s="30" t="s">
        <v>712</v>
      </c>
      <c r="U156" s="30">
        <v>1.974519E7</v>
      </c>
    </row>
    <row r="157">
      <c r="A157" s="30">
        <v>51.502102</v>
      </c>
      <c r="B157" s="30">
        <v>25.228205</v>
      </c>
      <c r="C157" s="30" t="str">
        <f t="shared" si="1"/>
        <v>51.502102 25.228205</v>
      </c>
      <c r="D157" s="30">
        <v>56.0</v>
      </c>
      <c r="E157" s="36" t="s">
        <v>713</v>
      </c>
      <c r="F157" s="32" t="s">
        <v>714</v>
      </c>
      <c r="G157" s="30" t="s">
        <v>190</v>
      </c>
      <c r="H157" s="33">
        <v>46102.0</v>
      </c>
      <c r="I157" s="30">
        <v>1234339.0</v>
      </c>
      <c r="J157" s="30" t="s">
        <v>715</v>
      </c>
      <c r="K157" s="34" t="s">
        <v>192</v>
      </c>
      <c r="L157" s="35"/>
      <c r="M157" s="30">
        <v>3.0</v>
      </c>
      <c r="N157" s="30" t="s">
        <v>193</v>
      </c>
      <c r="O157" s="30" t="s">
        <v>194</v>
      </c>
      <c r="P157" s="30">
        <v>160.0</v>
      </c>
      <c r="Q157" s="30" t="s">
        <v>195</v>
      </c>
      <c r="R157" s="30" t="s">
        <v>222</v>
      </c>
      <c r="S157" s="30" t="s">
        <v>197</v>
      </c>
      <c r="T157" s="30" t="s">
        <v>716</v>
      </c>
      <c r="U157" s="30">
        <v>1.5717696E7</v>
      </c>
    </row>
    <row r="158">
      <c r="A158" s="30">
        <v>51.509373</v>
      </c>
      <c r="B158" s="30">
        <v>25.226734</v>
      </c>
      <c r="C158" s="30" t="str">
        <f t="shared" si="1"/>
        <v>51.509373 25.226734</v>
      </c>
      <c r="D158" s="30">
        <v>56.0</v>
      </c>
      <c r="E158" s="36" t="s">
        <v>717</v>
      </c>
      <c r="F158" s="59" t="s">
        <v>718</v>
      </c>
      <c r="G158" s="37" t="s">
        <v>190</v>
      </c>
      <c r="H158" s="33">
        <v>46088.0</v>
      </c>
      <c r="I158" s="37">
        <v>1276936.0</v>
      </c>
      <c r="J158" s="30" t="s">
        <v>201</v>
      </c>
      <c r="K158" s="43" t="s">
        <v>202</v>
      </c>
      <c r="L158" s="34" t="s">
        <v>195</v>
      </c>
      <c r="M158" s="30">
        <v>3.0</v>
      </c>
      <c r="N158" s="30" t="s">
        <v>356</v>
      </c>
      <c r="O158" s="30" t="s">
        <v>194</v>
      </c>
      <c r="P158" s="30">
        <v>160.0</v>
      </c>
      <c r="Q158" s="30" t="s">
        <v>221</v>
      </c>
      <c r="R158" s="30" t="s">
        <v>222</v>
      </c>
      <c r="S158" s="30" t="s">
        <v>197</v>
      </c>
      <c r="T158" s="30" t="s">
        <v>719</v>
      </c>
      <c r="U158" s="30">
        <v>1.5717666E7</v>
      </c>
    </row>
    <row r="159">
      <c r="A159" s="71">
        <v>51.502061</v>
      </c>
      <c r="B159" s="71">
        <v>25.233491</v>
      </c>
      <c r="C159" s="30" t="str">
        <f t="shared" si="1"/>
        <v>51.502061 25.233491</v>
      </c>
      <c r="D159" s="71">
        <v>56.0</v>
      </c>
      <c r="E159" s="72" t="s">
        <v>720</v>
      </c>
      <c r="F159" s="73" t="s">
        <v>721</v>
      </c>
      <c r="G159" s="30" t="s">
        <v>190</v>
      </c>
      <c r="H159" s="74">
        <v>46102.0</v>
      </c>
      <c r="I159" s="71">
        <v>1276480.0</v>
      </c>
      <c r="J159" s="30" t="s">
        <v>722</v>
      </c>
      <c r="K159" s="34" t="s">
        <v>192</v>
      </c>
      <c r="L159" s="35"/>
      <c r="M159" s="30">
        <v>3.0</v>
      </c>
      <c r="N159" s="71" t="s">
        <v>193</v>
      </c>
      <c r="O159" s="71" t="s">
        <v>194</v>
      </c>
      <c r="P159" s="71">
        <v>160.0</v>
      </c>
      <c r="Q159" s="71" t="s">
        <v>221</v>
      </c>
      <c r="R159" s="71" t="s">
        <v>222</v>
      </c>
      <c r="S159" s="71" t="s">
        <v>197</v>
      </c>
      <c r="T159" s="71" t="s">
        <v>723</v>
      </c>
      <c r="U159" s="71">
        <v>1.5717724E7</v>
      </c>
    </row>
    <row r="160">
      <c r="A160" s="30">
        <v>51.516405</v>
      </c>
      <c r="B160" s="30">
        <v>25.232334</v>
      </c>
      <c r="C160" s="30" t="str">
        <f t="shared" si="1"/>
        <v>51.516405 25.232334</v>
      </c>
      <c r="D160" s="30">
        <v>56.0</v>
      </c>
      <c r="E160" s="39" t="s">
        <v>724</v>
      </c>
      <c r="F160" s="40" t="s">
        <v>201</v>
      </c>
      <c r="G160" s="34" t="s">
        <v>190</v>
      </c>
      <c r="H160" s="55">
        <v>46081.0</v>
      </c>
      <c r="I160" s="37">
        <v>1373976.0</v>
      </c>
      <c r="J160" s="30" t="s">
        <v>201</v>
      </c>
      <c r="K160" s="43" t="s">
        <v>202</v>
      </c>
      <c r="L160" s="34" t="s">
        <v>195</v>
      </c>
      <c r="M160" s="30">
        <v>3.0</v>
      </c>
      <c r="N160" s="30" t="s">
        <v>356</v>
      </c>
      <c r="O160" s="30" t="s">
        <v>194</v>
      </c>
      <c r="P160" s="30">
        <v>160.0</v>
      </c>
      <c r="Q160" s="30" t="s">
        <v>221</v>
      </c>
      <c r="R160" s="30" t="s">
        <v>222</v>
      </c>
      <c r="S160" s="30" t="s">
        <v>197</v>
      </c>
      <c r="T160" s="30" t="s">
        <v>725</v>
      </c>
      <c r="U160" s="30">
        <v>1.5717651E7</v>
      </c>
    </row>
    <row r="161">
      <c r="A161" s="30">
        <v>51.506462</v>
      </c>
      <c r="B161" s="30">
        <v>25.229067</v>
      </c>
      <c r="C161" s="30" t="str">
        <f t="shared" si="1"/>
        <v>51.506462 25.229067</v>
      </c>
      <c r="D161" s="30">
        <v>56.0</v>
      </c>
      <c r="E161" s="36" t="s">
        <v>726</v>
      </c>
      <c r="F161" s="59" t="s">
        <v>514</v>
      </c>
      <c r="G161" s="37" t="s">
        <v>190</v>
      </c>
      <c r="H161" s="55">
        <v>46073.0</v>
      </c>
      <c r="I161" s="37">
        <v>1226543.0</v>
      </c>
      <c r="J161" s="30" t="s">
        <v>201</v>
      </c>
      <c r="K161" s="43" t="s">
        <v>202</v>
      </c>
      <c r="L161" s="34" t="s">
        <v>195</v>
      </c>
      <c r="M161" s="30">
        <v>3.0</v>
      </c>
      <c r="N161" s="30" t="s">
        <v>356</v>
      </c>
      <c r="O161" s="30" t="s">
        <v>194</v>
      </c>
      <c r="P161" s="30">
        <v>160.0</v>
      </c>
      <c r="Q161" s="30" t="s">
        <v>221</v>
      </c>
      <c r="R161" s="30" t="s">
        <v>222</v>
      </c>
      <c r="S161" s="30" t="s">
        <v>197</v>
      </c>
      <c r="T161" s="30" t="s">
        <v>727</v>
      </c>
      <c r="U161" s="30">
        <v>1.5717668E7</v>
      </c>
    </row>
    <row r="162">
      <c r="A162" s="30">
        <v>51.516953</v>
      </c>
      <c r="B162" s="30">
        <v>25.221163</v>
      </c>
      <c r="C162" s="30" t="str">
        <f t="shared" si="1"/>
        <v>51.516953 25.221163</v>
      </c>
      <c r="D162" s="30">
        <v>56.0</v>
      </c>
      <c r="E162" s="36" t="s">
        <v>728</v>
      </c>
      <c r="F162" s="32" t="s">
        <v>729</v>
      </c>
      <c r="G162" s="30" t="s">
        <v>190</v>
      </c>
      <c r="H162" s="33">
        <v>46091.0</v>
      </c>
      <c r="I162" s="30">
        <v>1233399.0</v>
      </c>
      <c r="J162" s="30" t="s">
        <v>649</v>
      </c>
      <c r="K162" s="43" t="s">
        <v>202</v>
      </c>
      <c r="L162" s="34" t="s">
        <v>195</v>
      </c>
      <c r="M162" s="30">
        <v>4.0</v>
      </c>
      <c r="N162" s="30" t="s">
        <v>356</v>
      </c>
      <c r="O162" s="30" t="s">
        <v>194</v>
      </c>
      <c r="P162" s="30">
        <v>160.0</v>
      </c>
      <c r="Q162" s="30" t="s">
        <v>221</v>
      </c>
      <c r="R162" s="30" t="s">
        <v>222</v>
      </c>
      <c r="S162" s="30" t="s">
        <v>197</v>
      </c>
      <c r="T162" s="30" t="s">
        <v>730</v>
      </c>
      <c r="U162" s="30">
        <v>1.5717669E7</v>
      </c>
    </row>
    <row r="163">
      <c r="A163" s="30">
        <v>51.477448</v>
      </c>
      <c r="B163" s="30">
        <v>25.198846</v>
      </c>
      <c r="C163" s="30" t="str">
        <f t="shared" si="1"/>
        <v>51.477448 25.198846</v>
      </c>
      <c r="D163" s="30">
        <v>56.0</v>
      </c>
      <c r="E163" s="36" t="s">
        <v>731</v>
      </c>
      <c r="F163" s="54" t="s">
        <v>732</v>
      </c>
      <c r="G163" s="34" t="s">
        <v>190</v>
      </c>
      <c r="H163" s="55">
        <v>46086.0</v>
      </c>
      <c r="I163" s="37">
        <v>1276484.0</v>
      </c>
      <c r="J163" s="30" t="s">
        <v>201</v>
      </c>
      <c r="K163" s="43" t="s">
        <v>202</v>
      </c>
      <c r="L163" s="34" t="s">
        <v>195</v>
      </c>
      <c r="M163" s="30">
        <v>3.0</v>
      </c>
      <c r="N163" s="30" t="s">
        <v>356</v>
      </c>
      <c r="O163" s="30" t="s">
        <v>194</v>
      </c>
      <c r="P163" s="30">
        <v>160.0</v>
      </c>
      <c r="Q163" s="30" t="s">
        <v>221</v>
      </c>
      <c r="R163" s="30" t="s">
        <v>222</v>
      </c>
      <c r="S163" s="30" t="s">
        <v>197</v>
      </c>
      <c r="T163" s="30" t="s">
        <v>733</v>
      </c>
      <c r="U163" s="30">
        <v>1.5717612E7</v>
      </c>
    </row>
    <row r="164">
      <c r="A164" s="30">
        <v>51.448728</v>
      </c>
      <c r="B164" s="30">
        <v>25.189447</v>
      </c>
      <c r="C164" s="30" t="str">
        <f t="shared" si="1"/>
        <v>51.448728 25.189447</v>
      </c>
      <c r="D164" s="30">
        <v>57.0</v>
      </c>
      <c r="E164" s="39" t="s">
        <v>734</v>
      </c>
      <c r="F164" s="54" t="s">
        <v>735</v>
      </c>
      <c r="G164" s="34" t="s">
        <v>190</v>
      </c>
      <c r="H164" s="33">
        <v>46085.0</v>
      </c>
      <c r="I164" s="37">
        <v>1251914.0</v>
      </c>
      <c r="J164" s="30" t="s">
        <v>201</v>
      </c>
      <c r="K164" s="43" t="s">
        <v>202</v>
      </c>
      <c r="L164" s="34" t="s">
        <v>195</v>
      </c>
      <c r="M164" s="30">
        <v>3.0</v>
      </c>
      <c r="N164" s="30" t="s">
        <v>356</v>
      </c>
      <c r="O164" s="30" t="s">
        <v>194</v>
      </c>
      <c r="P164" s="30">
        <v>160.0</v>
      </c>
      <c r="Q164" s="30" t="s">
        <v>221</v>
      </c>
      <c r="R164" s="30" t="s">
        <v>222</v>
      </c>
      <c r="S164" s="30" t="s">
        <v>197</v>
      </c>
      <c r="T164" s="30" t="s">
        <v>736</v>
      </c>
      <c r="U164" s="30">
        <v>1.571767E7</v>
      </c>
    </row>
    <row r="165">
      <c r="A165" s="30">
        <v>51.502134</v>
      </c>
      <c r="B165" s="30">
        <v>25.216265</v>
      </c>
      <c r="C165" s="30" t="str">
        <f t="shared" si="1"/>
        <v>51.502134 25.216265</v>
      </c>
      <c r="D165" s="30">
        <v>56.0</v>
      </c>
      <c r="E165" s="36" t="s">
        <v>737</v>
      </c>
      <c r="F165" s="32" t="s">
        <v>738</v>
      </c>
      <c r="G165" s="30" t="s">
        <v>190</v>
      </c>
      <c r="H165" s="33">
        <v>46088.0</v>
      </c>
      <c r="I165" s="30">
        <v>1276934.0</v>
      </c>
      <c r="J165" s="30" t="s">
        <v>201</v>
      </c>
      <c r="K165" s="43" t="s">
        <v>202</v>
      </c>
      <c r="L165" s="34" t="s">
        <v>195</v>
      </c>
      <c r="M165" s="30">
        <v>2.0</v>
      </c>
      <c r="N165" s="30" t="s">
        <v>356</v>
      </c>
      <c r="O165" s="30" t="s">
        <v>194</v>
      </c>
      <c r="P165" s="30">
        <v>160.0</v>
      </c>
      <c r="Q165" s="30" t="s">
        <v>221</v>
      </c>
      <c r="R165" s="30" t="s">
        <v>222</v>
      </c>
      <c r="S165" s="30" t="s">
        <v>197</v>
      </c>
      <c r="T165" s="30" t="s">
        <v>739</v>
      </c>
      <c r="U165" s="30">
        <v>1.5717671E7</v>
      </c>
    </row>
    <row r="166">
      <c r="A166" s="30">
        <v>51.21976</v>
      </c>
      <c r="B166" s="30">
        <v>25.450967</v>
      </c>
      <c r="C166" s="30" t="str">
        <f t="shared" si="1"/>
        <v>51.21976 25.450967</v>
      </c>
      <c r="D166" s="30">
        <v>80.0</v>
      </c>
      <c r="E166" s="36" t="s">
        <v>471</v>
      </c>
      <c r="F166" s="32" t="s">
        <v>740</v>
      </c>
      <c r="G166" s="30" t="s">
        <v>190</v>
      </c>
      <c r="H166" s="33">
        <v>46092.0</v>
      </c>
      <c r="I166" s="30">
        <v>1265483.0</v>
      </c>
      <c r="J166" s="30" t="s">
        <v>741</v>
      </c>
      <c r="K166" s="37" t="s">
        <v>202</v>
      </c>
      <c r="L166" s="30" t="s">
        <v>742</v>
      </c>
      <c r="M166" s="30">
        <v>3.0</v>
      </c>
      <c r="N166" s="30" t="s">
        <v>216</v>
      </c>
      <c r="O166" s="30" t="s">
        <v>194</v>
      </c>
      <c r="P166" s="30">
        <v>160.0</v>
      </c>
      <c r="Q166" s="30" t="s">
        <v>195</v>
      </c>
      <c r="R166" s="30" t="s">
        <v>222</v>
      </c>
      <c r="S166" s="30" t="s">
        <v>197</v>
      </c>
      <c r="T166" s="30" t="s">
        <v>743</v>
      </c>
      <c r="U166" s="30">
        <v>1.5717632E7</v>
      </c>
    </row>
    <row r="167">
      <c r="A167" s="30">
        <v>51.209296</v>
      </c>
      <c r="B167" s="30">
        <v>25.492356</v>
      </c>
      <c r="C167" s="30" t="str">
        <f t="shared" si="1"/>
        <v>51.209296 25.492356</v>
      </c>
      <c r="D167" s="30">
        <v>72.0</v>
      </c>
      <c r="E167" s="36" t="s">
        <v>375</v>
      </c>
      <c r="F167" s="32" t="s">
        <v>744</v>
      </c>
      <c r="G167" s="30" t="s">
        <v>190</v>
      </c>
      <c r="H167" s="33">
        <v>46099.0</v>
      </c>
      <c r="I167" s="30">
        <v>1265487.0</v>
      </c>
      <c r="J167" s="30" t="s">
        <v>745</v>
      </c>
      <c r="K167" s="34" t="s">
        <v>291</v>
      </c>
      <c r="L167" s="35"/>
      <c r="M167" s="30">
        <v>3.0</v>
      </c>
      <c r="N167" s="30" t="s">
        <v>193</v>
      </c>
      <c r="O167" s="30" t="s">
        <v>194</v>
      </c>
      <c r="P167" s="30">
        <v>160.0</v>
      </c>
      <c r="Q167" s="30" t="s">
        <v>221</v>
      </c>
      <c r="R167" s="30" t="s">
        <v>222</v>
      </c>
      <c r="S167" s="30" t="s">
        <v>197</v>
      </c>
      <c r="T167" s="30" t="s">
        <v>746</v>
      </c>
      <c r="U167" s="30">
        <v>1.5717697E7</v>
      </c>
    </row>
    <row r="168">
      <c r="A168" s="71">
        <v>51.211641</v>
      </c>
      <c r="B168" s="71">
        <v>25.469884</v>
      </c>
      <c r="C168" s="30" t="str">
        <f t="shared" si="1"/>
        <v>51.211641 25.469884</v>
      </c>
      <c r="D168" s="71">
        <v>80.0</v>
      </c>
      <c r="E168" s="72" t="s">
        <v>726</v>
      </c>
      <c r="F168" s="73" t="s">
        <v>747</v>
      </c>
      <c r="G168" s="30" t="s">
        <v>190</v>
      </c>
      <c r="H168" s="74">
        <v>46105.0</v>
      </c>
      <c r="I168" s="71">
        <v>1265485.0</v>
      </c>
      <c r="J168" s="30" t="s">
        <v>201</v>
      </c>
      <c r="K168" s="34" t="s">
        <v>202</v>
      </c>
      <c r="L168" s="35"/>
      <c r="M168" s="30">
        <v>3.0</v>
      </c>
      <c r="N168" s="71" t="s">
        <v>356</v>
      </c>
      <c r="O168" s="71" t="s">
        <v>194</v>
      </c>
      <c r="P168" s="71">
        <v>160.0</v>
      </c>
      <c r="Q168" s="71" t="s">
        <v>221</v>
      </c>
      <c r="R168" s="71" t="s">
        <v>222</v>
      </c>
      <c r="S168" s="71" t="s">
        <v>197</v>
      </c>
      <c r="T168" s="71" t="s">
        <v>748</v>
      </c>
      <c r="U168" s="71">
        <v>1.5717725E7</v>
      </c>
    </row>
    <row r="169">
      <c r="A169" s="30">
        <v>51.486808</v>
      </c>
      <c r="B169" s="30">
        <v>25.62539</v>
      </c>
      <c r="C169" s="30" t="str">
        <f t="shared" si="1"/>
        <v>51.486808 25.62539</v>
      </c>
      <c r="D169" s="30">
        <v>70.0</v>
      </c>
      <c r="E169" s="36" t="s">
        <v>726</v>
      </c>
      <c r="F169" s="32" t="s">
        <v>749</v>
      </c>
      <c r="G169" s="30" t="s">
        <v>190</v>
      </c>
      <c r="H169" s="33">
        <v>46096.0</v>
      </c>
      <c r="I169" s="30">
        <v>1346207.0</v>
      </c>
      <c r="J169" s="30" t="s">
        <v>750</v>
      </c>
      <c r="K169" s="37" t="s">
        <v>202</v>
      </c>
      <c r="L169" s="35"/>
      <c r="M169" s="30">
        <v>3.0</v>
      </c>
      <c r="N169" s="30" t="s">
        <v>216</v>
      </c>
      <c r="O169" s="30" t="s">
        <v>194</v>
      </c>
      <c r="P169" s="30">
        <v>160.0</v>
      </c>
      <c r="Q169" s="30" t="s">
        <v>221</v>
      </c>
      <c r="R169" s="30" t="s">
        <v>222</v>
      </c>
      <c r="S169" s="30" t="s">
        <v>197</v>
      </c>
      <c r="T169" s="30" t="s">
        <v>751</v>
      </c>
      <c r="U169" s="30">
        <v>1.9745191E7</v>
      </c>
    </row>
    <row r="170">
      <c r="A170" s="30">
        <v>51.485118</v>
      </c>
      <c r="B170" s="30">
        <v>25.62164</v>
      </c>
      <c r="C170" s="30" t="str">
        <f t="shared" si="1"/>
        <v>51.485118 25.62164</v>
      </c>
      <c r="D170" s="30">
        <v>70.0</v>
      </c>
      <c r="E170" s="36" t="s">
        <v>726</v>
      </c>
      <c r="F170" s="32" t="s">
        <v>752</v>
      </c>
      <c r="G170" s="30" t="s">
        <v>190</v>
      </c>
      <c r="H170" s="33">
        <v>46104.0</v>
      </c>
      <c r="I170" s="30">
        <v>1346207.0</v>
      </c>
      <c r="J170" s="30" t="s">
        <v>201</v>
      </c>
      <c r="K170" s="34" t="s">
        <v>202</v>
      </c>
      <c r="L170" s="35"/>
      <c r="M170" s="30">
        <v>3.0</v>
      </c>
      <c r="N170" s="30" t="s">
        <v>356</v>
      </c>
      <c r="O170" s="30" t="s">
        <v>194</v>
      </c>
      <c r="P170" s="30">
        <v>160.0</v>
      </c>
      <c r="Q170" s="30" t="s">
        <v>221</v>
      </c>
      <c r="R170" s="30" t="s">
        <v>222</v>
      </c>
      <c r="S170" s="30" t="s">
        <v>197</v>
      </c>
      <c r="T170" s="30" t="s">
        <v>753</v>
      </c>
      <c r="U170" s="30">
        <v>1.9745192E7</v>
      </c>
    </row>
    <row r="171">
      <c r="A171" s="30">
        <v>51.480814</v>
      </c>
      <c r="B171" s="30">
        <v>25.613719</v>
      </c>
      <c r="C171" s="30" t="str">
        <f t="shared" si="1"/>
        <v>51.480814 25.613719</v>
      </c>
      <c r="D171" s="30">
        <v>70.0</v>
      </c>
      <c r="E171" s="36" t="s">
        <v>375</v>
      </c>
      <c r="F171" s="32" t="s">
        <v>754</v>
      </c>
      <c r="G171" s="30" t="s">
        <v>190</v>
      </c>
      <c r="H171" s="33">
        <v>46096.0</v>
      </c>
      <c r="I171" s="30">
        <v>1346209.0</v>
      </c>
      <c r="J171" s="30" t="s">
        <v>755</v>
      </c>
      <c r="K171" s="37" t="s">
        <v>202</v>
      </c>
      <c r="L171" s="35"/>
      <c r="M171" s="30">
        <v>3.0</v>
      </c>
      <c r="N171" s="30" t="s">
        <v>216</v>
      </c>
      <c r="O171" s="30" t="s">
        <v>194</v>
      </c>
      <c r="P171" s="30">
        <v>160.0</v>
      </c>
      <c r="Q171" s="30" t="s">
        <v>221</v>
      </c>
      <c r="R171" s="30" t="s">
        <v>222</v>
      </c>
      <c r="S171" s="30" t="s">
        <v>197</v>
      </c>
      <c r="T171" s="30" t="s">
        <v>756</v>
      </c>
      <c r="U171" s="30">
        <v>1.9745193E7</v>
      </c>
    </row>
    <row r="172">
      <c r="A172" s="30">
        <v>51.477793</v>
      </c>
      <c r="B172" s="30">
        <v>25.606514</v>
      </c>
      <c r="C172" s="30" t="str">
        <f t="shared" si="1"/>
        <v>51.477793 25.606514</v>
      </c>
      <c r="D172" s="30">
        <v>70.0</v>
      </c>
      <c r="E172" s="36" t="s">
        <v>266</v>
      </c>
      <c r="F172" s="32" t="s">
        <v>757</v>
      </c>
      <c r="G172" s="30" t="s">
        <v>190</v>
      </c>
      <c r="H172" s="33">
        <v>46096.0</v>
      </c>
      <c r="I172" s="30">
        <v>1346211.0</v>
      </c>
      <c r="J172" s="30" t="s">
        <v>758</v>
      </c>
      <c r="K172" s="37" t="s">
        <v>202</v>
      </c>
      <c r="L172" s="35"/>
      <c r="M172" s="30">
        <v>3.0</v>
      </c>
      <c r="N172" s="30" t="s">
        <v>216</v>
      </c>
      <c r="O172" s="30" t="s">
        <v>194</v>
      </c>
      <c r="P172" s="30">
        <v>160.0</v>
      </c>
      <c r="Q172" s="30" t="s">
        <v>195</v>
      </c>
      <c r="R172" s="30" t="s">
        <v>196</v>
      </c>
      <c r="S172" s="30" t="s">
        <v>197</v>
      </c>
      <c r="T172" s="30" t="s">
        <v>759</v>
      </c>
      <c r="U172" s="30">
        <v>1.9745194E7</v>
      </c>
    </row>
    <row r="173">
      <c r="A173" s="30">
        <v>51.47491</v>
      </c>
      <c r="B173" s="30">
        <v>25.597491</v>
      </c>
      <c r="C173" s="30" t="str">
        <f t="shared" si="1"/>
        <v>51.47491 25.597491</v>
      </c>
      <c r="D173" s="30">
        <v>70.0</v>
      </c>
      <c r="E173" s="36" t="s">
        <v>509</v>
      </c>
      <c r="F173" s="32" t="s">
        <v>760</v>
      </c>
      <c r="G173" s="30" t="s">
        <v>190</v>
      </c>
      <c r="H173" s="33">
        <v>46096.0</v>
      </c>
      <c r="I173" s="30">
        <v>1346609.0</v>
      </c>
      <c r="J173" s="30" t="s">
        <v>761</v>
      </c>
      <c r="K173" s="37" t="s">
        <v>202</v>
      </c>
      <c r="L173" s="35"/>
      <c r="M173" s="30">
        <v>3.0</v>
      </c>
      <c r="N173" s="30" t="s">
        <v>216</v>
      </c>
      <c r="O173" s="30" t="s">
        <v>194</v>
      </c>
      <c r="P173" s="30">
        <v>160.0</v>
      </c>
      <c r="Q173" s="30" t="s">
        <v>221</v>
      </c>
      <c r="R173" s="30" t="s">
        <v>222</v>
      </c>
      <c r="S173" s="30" t="s">
        <v>197</v>
      </c>
      <c r="T173" s="30" t="s">
        <v>762</v>
      </c>
      <c r="U173" s="30">
        <v>1.9745195E7</v>
      </c>
    </row>
    <row r="174">
      <c r="A174" s="30">
        <v>51.471612</v>
      </c>
      <c r="B174" s="30">
        <v>25.590212</v>
      </c>
      <c r="C174" s="30" t="str">
        <f t="shared" si="1"/>
        <v>51.471612 25.590212</v>
      </c>
      <c r="D174" s="30">
        <v>70.0</v>
      </c>
      <c r="E174" s="36" t="s">
        <v>444</v>
      </c>
      <c r="F174" s="32" t="s">
        <v>763</v>
      </c>
      <c r="G174" s="30" t="s">
        <v>190</v>
      </c>
      <c r="H174" s="33">
        <v>46096.0</v>
      </c>
      <c r="I174" s="30">
        <v>1346603.0</v>
      </c>
      <c r="J174" s="30" t="s">
        <v>764</v>
      </c>
      <c r="K174" s="37" t="s">
        <v>202</v>
      </c>
      <c r="L174" s="35"/>
      <c r="M174" s="30">
        <v>3.0</v>
      </c>
      <c r="N174" s="30" t="s">
        <v>216</v>
      </c>
      <c r="O174" s="30" t="s">
        <v>194</v>
      </c>
      <c r="P174" s="30">
        <v>160.0</v>
      </c>
      <c r="Q174" s="30" t="s">
        <v>221</v>
      </c>
      <c r="R174" s="30" t="s">
        <v>222</v>
      </c>
      <c r="S174" s="30" t="s">
        <v>197</v>
      </c>
      <c r="T174" s="30" t="s">
        <v>765</v>
      </c>
      <c r="U174" s="30">
        <v>1.9745196E7</v>
      </c>
    </row>
    <row r="175">
      <c r="A175" s="30">
        <v>51.469222</v>
      </c>
      <c r="B175" s="30">
        <v>25.587552</v>
      </c>
      <c r="C175" s="30" t="str">
        <f t="shared" si="1"/>
        <v>51.469222 25.587552</v>
      </c>
      <c r="D175" s="30">
        <v>70.0</v>
      </c>
      <c r="E175" s="36" t="s">
        <v>532</v>
      </c>
      <c r="F175" s="32" t="s">
        <v>766</v>
      </c>
      <c r="G175" s="30" t="s">
        <v>190</v>
      </c>
      <c r="H175" s="33">
        <v>46096.0</v>
      </c>
      <c r="I175" s="30">
        <v>1346598.0</v>
      </c>
      <c r="J175" s="30" t="s">
        <v>755</v>
      </c>
      <c r="K175" s="37" t="s">
        <v>202</v>
      </c>
      <c r="L175" s="35"/>
      <c r="M175" s="30">
        <v>3.0</v>
      </c>
      <c r="N175" s="30" t="s">
        <v>216</v>
      </c>
      <c r="O175" s="30" t="s">
        <v>194</v>
      </c>
      <c r="P175" s="30">
        <v>160.0</v>
      </c>
      <c r="Q175" s="30" t="s">
        <v>221</v>
      </c>
      <c r="R175" s="30" t="s">
        <v>222</v>
      </c>
      <c r="S175" s="30" t="s">
        <v>197</v>
      </c>
      <c r="T175" s="30" t="s">
        <v>767</v>
      </c>
      <c r="U175" s="30">
        <v>1.9745197E7</v>
      </c>
    </row>
    <row r="176">
      <c r="A176" s="30">
        <v>51.498463</v>
      </c>
      <c r="B176" s="30">
        <v>25.655436</v>
      </c>
      <c r="C176" s="30" t="str">
        <f t="shared" si="1"/>
        <v>51.498463 25.655436</v>
      </c>
      <c r="D176" s="30">
        <v>74.0</v>
      </c>
      <c r="E176" s="36" t="s">
        <v>440</v>
      </c>
      <c r="F176" s="32" t="s">
        <v>768</v>
      </c>
      <c r="G176" s="30" t="s">
        <v>190</v>
      </c>
      <c r="H176" s="33">
        <v>46096.0</v>
      </c>
      <c r="I176" s="30">
        <v>1331604.0</v>
      </c>
      <c r="J176" s="30" t="s">
        <v>769</v>
      </c>
      <c r="K176" s="37" t="s">
        <v>202</v>
      </c>
      <c r="L176" s="35"/>
      <c r="M176" s="30">
        <v>3.0</v>
      </c>
      <c r="N176" s="30" t="s">
        <v>216</v>
      </c>
      <c r="O176" s="30" t="s">
        <v>194</v>
      </c>
      <c r="P176" s="30">
        <v>160.0</v>
      </c>
      <c r="Q176" s="30" t="s">
        <v>770</v>
      </c>
      <c r="R176" s="30" t="s">
        <v>254</v>
      </c>
      <c r="S176" s="30" t="s">
        <v>197</v>
      </c>
      <c r="T176" s="30" t="s">
        <v>771</v>
      </c>
      <c r="U176" s="30">
        <v>1.9745198E7</v>
      </c>
    </row>
    <row r="177">
      <c r="A177" s="30">
        <v>51.488784</v>
      </c>
      <c r="B177" s="30">
        <v>25.630043</v>
      </c>
      <c r="C177" s="30" t="str">
        <f t="shared" si="1"/>
        <v>51.488784 25.630043</v>
      </c>
      <c r="D177" s="30">
        <v>70.0</v>
      </c>
      <c r="E177" s="36" t="s">
        <v>475</v>
      </c>
      <c r="F177" s="32" t="s">
        <v>772</v>
      </c>
      <c r="G177" s="30" t="s">
        <v>190</v>
      </c>
      <c r="H177" s="33">
        <v>46096.0</v>
      </c>
      <c r="I177" s="30">
        <v>1346206.0</v>
      </c>
      <c r="J177" s="30" t="s">
        <v>773</v>
      </c>
      <c r="K177" s="37" t="s">
        <v>202</v>
      </c>
      <c r="L177" s="35"/>
      <c r="M177" s="30">
        <v>3.0</v>
      </c>
      <c r="N177" s="30" t="s">
        <v>216</v>
      </c>
      <c r="O177" s="30" t="s">
        <v>194</v>
      </c>
      <c r="P177" s="30">
        <v>160.0</v>
      </c>
      <c r="Q177" s="30" t="s">
        <v>221</v>
      </c>
      <c r="R177" s="30" t="s">
        <v>222</v>
      </c>
      <c r="S177" s="30" t="s">
        <v>197</v>
      </c>
      <c r="T177" s="30" t="s">
        <v>774</v>
      </c>
      <c r="U177" s="30">
        <v>1.9745202E7</v>
      </c>
    </row>
    <row r="178">
      <c r="A178" s="30">
        <v>51.496253</v>
      </c>
      <c r="B178" s="30">
        <v>25.650957</v>
      </c>
      <c r="C178" s="30" t="str">
        <f t="shared" si="1"/>
        <v>51.496253 25.650957</v>
      </c>
      <c r="D178" s="30">
        <v>74.0</v>
      </c>
      <c r="E178" s="36" t="s">
        <v>454</v>
      </c>
      <c r="F178" s="32" t="s">
        <v>775</v>
      </c>
      <c r="G178" s="30" t="s">
        <v>190</v>
      </c>
      <c r="H178" s="33">
        <v>46096.0</v>
      </c>
      <c r="I178" s="30">
        <v>1346231.0</v>
      </c>
      <c r="J178" s="30" t="s">
        <v>776</v>
      </c>
      <c r="K178" s="37" t="s">
        <v>202</v>
      </c>
      <c r="L178" s="35"/>
      <c r="M178" s="30">
        <v>3.0</v>
      </c>
      <c r="N178" s="30" t="s">
        <v>216</v>
      </c>
      <c r="O178" s="30" t="s">
        <v>194</v>
      </c>
      <c r="P178" s="30">
        <v>160.0</v>
      </c>
      <c r="Q178" s="30" t="s">
        <v>221</v>
      </c>
      <c r="R178" s="30" t="s">
        <v>222</v>
      </c>
      <c r="S178" s="30" t="s">
        <v>197</v>
      </c>
      <c r="T178" s="30" t="s">
        <v>777</v>
      </c>
      <c r="U178" s="30">
        <v>1.9745199E7</v>
      </c>
    </row>
    <row r="179">
      <c r="A179" s="30">
        <v>51.492948</v>
      </c>
      <c r="B179" s="30">
        <v>25.642678</v>
      </c>
      <c r="C179" s="30" t="str">
        <f t="shared" si="1"/>
        <v>51.492948 25.642678</v>
      </c>
      <c r="D179" s="30">
        <v>74.0</v>
      </c>
      <c r="E179" s="36" t="s">
        <v>310</v>
      </c>
      <c r="F179" s="32" t="s">
        <v>778</v>
      </c>
      <c r="G179" s="30" t="s">
        <v>190</v>
      </c>
      <c r="H179" s="33">
        <v>46096.0</v>
      </c>
      <c r="I179" s="30">
        <v>1346229.0</v>
      </c>
      <c r="J179" s="30" t="s">
        <v>779</v>
      </c>
      <c r="K179" s="37" t="s">
        <v>202</v>
      </c>
      <c r="L179" s="35"/>
      <c r="M179" s="30">
        <v>3.0</v>
      </c>
      <c r="N179" s="30" t="s">
        <v>216</v>
      </c>
      <c r="O179" s="30" t="s">
        <v>194</v>
      </c>
      <c r="P179" s="30">
        <v>160.0</v>
      </c>
      <c r="Q179" s="30" t="s">
        <v>221</v>
      </c>
      <c r="R179" s="30" t="s">
        <v>222</v>
      </c>
      <c r="S179" s="30" t="s">
        <v>197</v>
      </c>
      <c r="T179" s="30" t="s">
        <v>780</v>
      </c>
      <c r="U179" s="30">
        <v>1.97452E7</v>
      </c>
    </row>
    <row r="180">
      <c r="A180" s="71">
        <v>51.491988</v>
      </c>
      <c r="B180" s="71">
        <v>25.640111</v>
      </c>
      <c r="C180" s="30" t="str">
        <f t="shared" si="1"/>
        <v>51.491988 25.640111</v>
      </c>
      <c r="D180" s="71">
        <v>70.0</v>
      </c>
      <c r="E180" s="72" t="s">
        <v>781</v>
      </c>
      <c r="F180" s="73" t="s">
        <v>782</v>
      </c>
      <c r="G180" s="30" t="s">
        <v>190</v>
      </c>
      <c r="H180" s="74">
        <v>46104.0</v>
      </c>
      <c r="I180" s="71">
        <v>1346228.0</v>
      </c>
      <c r="J180" s="30" t="s">
        <v>201</v>
      </c>
      <c r="K180" s="34" t="s">
        <v>202</v>
      </c>
      <c r="L180" s="35"/>
      <c r="M180" s="30">
        <v>3.0</v>
      </c>
      <c r="N180" s="71" t="s">
        <v>356</v>
      </c>
      <c r="O180" s="71" t="s">
        <v>194</v>
      </c>
      <c r="P180" s="71">
        <v>160.0</v>
      </c>
      <c r="Q180" s="71" t="s">
        <v>221</v>
      </c>
      <c r="R180" s="71" t="s">
        <v>222</v>
      </c>
      <c r="S180" s="71" t="s">
        <v>197</v>
      </c>
      <c r="T180" s="71" t="s">
        <v>783</v>
      </c>
      <c r="U180" s="71">
        <v>1.9745201E7</v>
      </c>
    </row>
    <row r="181">
      <c r="A181" s="30">
        <v>51.481285</v>
      </c>
      <c r="B181" s="30">
        <v>25.645014</v>
      </c>
      <c r="C181" s="30" t="str">
        <f t="shared" si="1"/>
        <v>51.481285 25.645014</v>
      </c>
      <c r="D181" s="30">
        <v>70.0</v>
      </c>
      <c r="E181" s="36" t="s">
        <v>519</v>
      </c>
      <c r="F181" s="32" t="s">
        <v>784</v>
      </c>
      <c r="G181" s="30" t="s">
        <v>190</v>
      </c>
      <c r="H181" s="33">
        <v>46081.0</v>
      </c>
      <c r="I181" s="30">
        <v>1346617.0</v>
      </c>
      <c r="J181" s="30" t="s">
        <v>201</v>
      </c>
      <c r="K181" s="37" t="s">
        <v>202</v>
      </c>
      <c r="L181" s="30" t="s">
        <v>195</v>
      </c>
      <c r="M181" s="30">
        <v>3.0</v>
      </c>
      <c r="N181" s="30" t="s">
        <v>193</v>
      </c>
      <c r="O181" s="30" t="s">
        <v>194</v>
      </c>
      <c r="P181" s="30">
        <v>160.0</v>
      </c>
      <c r="Q181" s="30" t="s">
        <v>221</v>
      </c>
      <c r="R181" s="30" t="s">
        <v>222</v>
      </c>
      <c r="S181" s="30" t="s">
        <v>197</v>
      </c>
      <c r="T181" s="30" t="s">
        <v>785</v>
      </c>
      <c r="U181" s="30">
        <v>1.9745203E7</v>
      </c>
    </row>
    <row r="182">
      <c r="A182" s="71">
        <v>51.491988</v>
      </c>
      <c r="B182" s="71">
        <v>25.638306</v>
      </c>
      <c r="C182" s="30" t="str">
        <f t="shared" si="1"/>
        <v>51.491988 25.638306</v>
      </c>
      <c r="D182" s="71">
        <v>70.0</v>
      </c>
      <c r="E182" s="72" t="s">
        <v>440</v>
      </c>
      <c r="F182" s="73" t="s">
        <v>786</v>
      </c>
      <c r="G182" s="30" t="s">
        <v>190</v>
      </c>
      <c r="H182" s="74">
        <v>46104.0</v>
      </c>
      <c r="I182" s="71">
        <v>1346616.0</v>
      </c>
      <c r="J182" s="30" t="s">
        <v>201</v>
      </c>
      <c r="K182" s="34" t="s">
        <v>202</v>
      </c>
      <c r="L182" s="35"/>
      <c r="M182" s="30">
        <v>3.0</v>
      </c>
      <c r="N182" s="71" t="s">
        <v>356</v>
      </c>
      <c r="O182" s="71" t="s">
        <v>194</v>
      </c>
      <c r="P182" s="71">
        <v>160.0</v>
      </c>
      <c r="Q182" s="71" t="s">
        <v>221</v>
      </c>
      <c r="R182" s="71" t="s">
        <v>222</v>
      </c>
      <c r="S182" s="71" t="s">
        <v>197</v>
      </c>
      <c r="T182" s="71" t="s">
        <v>787</v>
      </c>
      <c r="U182" s="71">
        <v>1.9745204E7</v>
      </c>
    </row>
    <row r="183">
      <c r="A183" s="71">
        <v>51.215249</v>
      </c>
      <c r="B183" s="71">
        <v>25.461481</v>
      </c>
      <c r="C183" s="30" t="str">
        <f t="shared" si="1"/>
        <v>51.215249 25.461481</v>
      </c>
      <c r="D183" s="71">
        <v>80.0</v>
      </c>
      <c r="E183" s="72" t="s">
        <v>475</v>
      </c>
      <c r="F183" s="73" t="s">
        <v>788</v>
      </c>
      <c r="G183" s="30" t="s">
        <v>190</v>
      </c>
      <c r="H183" s="74">
        <v>46105.0</v>
      </c>
      <c r="I183" s="71">
        <v>1265482.0</v>
      </c>
      <c r="J183" s="30" t="s">
        <v>201</v>
      </c>
      <c r="K183" s="34" t="s">
        <v>202</v>
      </c>
      <c r="L183" s="35"/>
      <c r="M183" s="30">
        <v>3.0</v>
      </c>
      <c r="N183" s="71" t="s">
        <v>193</v>
      </c>
      <c r="O183" s="71" t="s">
        <v>194</v>
      </c>
      <c r="P183" s="71">
        <v>160.0</v>
      </c>
      <c r="Q183" s="71" t="s">
        <v>221</v>
      </c>
      <c r="R183" s="71" t="s">
        <v>222</v>
      </c>
      <c r="S183" s="71" t="s">
        <v>197</v>
      </c>
      <c r="T183" s="71" t="s">
        <v>789</v>
      </c>
      <c r="U183" s="71">
        <v>1.5717613E7</v>
      </c>
    </row>
    <row r="184">
      <c r="A184" s="71">
        <v>51.222431</v>
      </c>
      <c r="B184" s="71">
        <v>25.444754</v>
      </c>
      <c r="C184" s="30" t="str">
        <f t="shared" si="1"/>
        <v>51.222431 25.444754</v>
      </c>
      <c r="D184" s="71">
        <v>80.0</v>
      </c>
      <c r="E184" s="72" t="s">
        <v>479</v>
      </c>
      <c r="F184" s="73" t="s">
        <v>790</v>
      </c>
      <c r="G184" s="30" t="s">
        <v>190</v>
      </c>
      <c r="H184" s="74">
        <v>46105.0</v>
      </c>
      <c r="I184" s="71">
        <v>1265484.0</v>
      </c>
      <c r="J184" s="30" t="s">
        <v>201</v>
      </c>
      <c r="K184" s="34" t="s">
        <v>202</v>
      </c>
      <c r="L184" s="35"/>
      <c r="M184" s="30">
        <v>3.0</v>
      </c>
      <c r="N184" s="71" t="s">
        <v>193</v>
      </c>
      <c r="O184" s="71" t="s">
        <v>194</v>
      </c>
      <c r="P184" s="71">
        <v>160.0</v>
      </c>
      <c r="Q184" s="71" t="s">
        <v>221</v>
      </c>
      <c r="R184" s="71" t="s">
        <v>222</v>
      </c>
      <c r="S184" s="71" t="s">
        <v>197</v>
      </c>
      <c r="T184" s="71" t="s">
        <v>791</v>
      </c>
      <c r="U184" s="71">
        <v>1.5717672E7</v>
      </c>
    </row>
    <row r="185">
      <c r="A185" s="71">
        <v>51.225928</v>
      </c>
      <c r="B185" s="71">
        <v>25.436261</v>
      </c>
      <c r="C185" s="30" t="str">
        <f t="shared" si="1"/>
        <v>51.225928 25.436261</v>
      </c>
      <c r="D185" s="71">
        <v>80.0</v>
      </c>
      <c r="E185" s="72" t="s">
        <v>323</v>
      </c>
      <c r="F185" s="73" t="s">
        <v>792</v>
      </c>
      <c r="G185" s="30" t="s">
        <v>190</v>
      </c>
      <c r="H185" s="74">
        <v>46105.0</v>
      </c>
      <c r="I185" s="71">
        <v>126548.0</v>
      </c>
      <c r="J185" s="30" t="s">
        <v>793</v>
      </c>
      <c r="K185" s="34" t="s">
        <v>202</v>
      </c>
      <c r="L185" s="35"/>
      <c r="M185" s="30">
        <v>4.0</v>
      </c>
      <c r="N185" s="71" t="s">
        <v>193</v>
      </c>
      <c r="O185" s="71" t="s">
        <v>194</v>
      </c>
      <c r="P185" s="71">
        <v>160.0</v>
      </c>
      <c r="Q185" s="71" t="s">
        <v>221</v>
      </c>
      <c r="R185" s="71" t="s">
        <v>222</v>
      </c>
      <c r="S185" s="71" t="s">
        <v>197</v>
      </c>
      <c r="T185" s="71" t="s">
        <v>794</v>
      </c>
      <c r="U185" s="71">
        <v>1.5717673E7</v>
      </c>
    </row>
    <row r="186">
      <c r="A186" s="71">
        <v>51.227386</v>
      </c>
      <c r="B186" s="71">
        <v>25.427478</v>
      </c>
      <c r="C186" s="30" t="str">
        <f t="shared" si="1"/>
        <v>51.227386 25.427478</v>
      </c>
      <c r="D186" s="71">
        <v>80.0</v>
      </c>
      <c r="E186" s="72" t="s">
        <v>310</v>
      </c>
      <c r="F186" s="73" t="s">
        <v>795</v>
      </c>
      <c r="G186" s="30" t="s">
        <v>190</v>
      </c>
      <c r="H186" s="74">
        <v>46105.0</v>
      </c>
      <c r="I186" s="71">
        <v>1253591.0</v>
      </c>
      <c r="J186" s="30" t="s">
        <v>201</v>
      </c>
      <c r="K186" s="34" t="s">
        <v>202</v>
      </c>
      <c r="L186" s="35"/>
      <c r="M186" s="30">
        <v>3.0</v>
      </c>
      <c r="N186" s="71" t="s">
        <v>193</v>
      </c>
      <c r="O186" s="71" t="s">
        <v>194</v>
      </c>
      <c r="P186" s="71">
        <v>160.0</v>
      </c>
      <c r="Q186" s="71" t="s">
        <v>221</v>
      </c>
      <c r="R186" s="71" t="s">
        <v>222</v>
      </c>
      <c r="S186" s="71" t="s">
        <v>197</v>
      </c>
      <c r="T186" s="71" t="s">
        <v>796</v>
      </c>
      <c r="U186" s="71">
        <v>1.571775E7</v>
      </c>
    </row>
    <row r="187">
      <c r="A187" s="30">
        <v>51.227385</v>
      </c>
      <c r="B187" s="30">
        <v>25.4275</v>
      </c>
      <c r="C187" s="30" t="str">
        <f t="shared" si="1"/>
        <v>51.227385 25.4275</v>
      </c>
      <c r="D187" s="30">
        <v>80.0</v>
      </c>
      <c r="E187" s="36" t="s">
        <v>310</v>
      </c>
      <c r="F187" s="32" t="s">
        <v>797</v>
      </c>
      <c r="G187" s="30" t="s">
        <v>190</v>
      </c>
      <c r="H187" s="33">
        <v>46093.0</v>
      </c>
      <c r="I187" s="30">
        <v>1253591.0</v>
      </c>
      <c r="J187" s="30" t="s">
        <v>798</v>
      </c>
      <c r="K187" s="37" t="s">
        <v>202</v>
      </c>
      <c r="L187" s="30" t="s">
        <v>799</v>
      </c>
      <c r="M187" s="30">
        <v>3.0</v>
      </c>
      <c r="N187" s="30" t="s">
        <v>216</v>
      </c>
      <c r="O187" s="30" t="s">
        <v>194</v>
      </c>
      <c r="P187" s="30">
        <v>160.0</v>
      </c>
      <c r="Q187" s="30" t="s">
        <v>195</v>
      </c>
      <c r="R187" s="30" t="s">
        <v>222</v>
      </c>
      <c r="S187" s="30" t="s">
        <v>197</v>
      </c>
      <c r="T187" s="30" t="s">
        <v>800</v>
      </c>
      <c r="U187" s="30">
        <v>1.5717633E7</v>
      </c>
    </row>
    <row r="188">
      <c r="A188" s="71">
        <v>51.227905</v>
      </c>
      <c r="B188" s="71">
        <v>25.41846</v>
      </c>
      <c r="C188" s="30" t="str">
        <f t="shared" si="1"/>
        <v>51.227905 25.41846</v>
      </c>
      <c r="D188" s="71">
        <v>80.0</v>
      </c>
      <c r="E188" s="72" t="s">
        <v>260</v>
      </c>
      <c r="F188" s="73" t="s">
        <v>801</v>
      </c>
      <c r="G188" s="30" t="s">
        <v>190</v>
      </c>
      <c r="H188" s="74">
        <v>46105.0</v>
      </c>
      <c r="I188" s="71">
        <v>1270834.0</v>
      </c>
      <c r="J188" s="30" t="s">
        <v>201</v>
      </c>
      <c r="K188" s="34" t="s">
        <v>202</v>
      </c>
      <c r="L188" s="35"/>
      <c r="M188" s="30">
        <v>3.0</v>
      </c>
      <c r="N188" s="71" t="s">
        <v>193</v>
      </c>
      <c r="O188" s="71" t="s">
        <v>194</v>
      </c>
      <c r="P188" s="71">
        <v>160.0</v>
      </c>
      <c r="Q188" s="71" t="s">
        <v>221</v>
      </c>
      <c r="R188" s="71" t="s">
        <v>222</v>
      </c>
      <c r="S188" s="71" t="s">
        <v>197</v>
      </c>
      <c r="T188" s="71" t="s">
        <v>802</v>
      </c>
      <c r="U188" s="71">
        <v>1.5717634E7</v>
      </c>
    </row>
    <row r="189">
      <c r="A189" s="30">
        <v>51.227906</v>
      </c>
      <c r="B189" s="30">
        <v>25.418438</v>
      </c>
      <c r="C189" s="30" t="str">
        <f t="shared" si="1"/>
        <v>51.227906 25.418438</v>
      </c>
      <c r="D189" s="30">
        <v>80.0</v>
      </c>
      <c r="E189" s="36" t="s">
        <v>260</v>
      </c>
      <c r="F189" s="32" t="s">
        <v>803</v>
      </c>
      <c r="G189" s="30" t="s">
        <v>190</v>
      </c>
      <c r="H189" s="33">
        <v>46093.0</v>
      </c>
      <c r="I189" s="30">
        <v>1270834.0</v>
      </c>
      <c r="J189" s="30" t="s">
        <v>804</v>
      </c>
      <c r="K189" s="37" t="s">
        <v>202</v>
      </c>
      <c r="L189" s="30" t="s">
        <v>799</v>
      </c>
      <c r="M189" s="30">
        <v>3.0</v>
      </c>
      <c r="N189" s="30" t="s">
        <v>216</v>
      </c>
      <c r="O189" s="30" t="s">
        <v>194</v>
      </c>
      <c r="P189" s="30">
        <v>160.0</v>
      </c>
      <c r="Q189" s="30" t="s">
        <v>221</v>
      </c>
      <c r="R189" s="30" t="s">
        <v>222</v>
      </c>
      <c r="S189" s="30" t="s">
        <v>197</v>
      </c>
      <c r="T189" s="30" t="s">
        <v>805</v>
      </c>
      <c r="U189" s="30">
        <v>1.5717726E7</v>
      </c>
    </row>
    <row r="190">
      <c r="A190" s="30">
        <v>51.229193</v>
      </c>
      <c r="B190" s="30">
        <v>25.395973</v>
      </c>
      <c r="C190" s="30" t="str">
        <f t="shared" si="1"/>
        <v>51.229193 25.395973</v>
      </c>
      <c r="D190" s="30">
        <v>80.0</v>
      </c>
      <c r="E190" s="36" t="s">
        <v>440</v>
      </c>
      <c r="F190" s="32" t="s">
        <v>806</v>
      </c>
      <c r="G190" s="30" t="s">
        <v>190</v>
      </c>
      <c r="H190" s="33">
        <v>46093.0</v>
      </c>
      <c r="I190" s="30">
        <v>1265477.0</v>
      </c>
      <c r="J190" s="30" t="s">
        <v>798</v>
      </c>
      <c r="K190" s="37" t="s">
        <v>202</v>
      </c>
      <c r="L190" s="30" t="s">
        <v>799</v>
      </c>
      <c r="M190" s="30">
        <v>3.0</v>
      </c>
      <c r="N190" s="30" t="s">
        <v>216</v>
      </c>
      <c r="O190" s="30" t="s">
        <v>194</v>
      </c>
      <c r="P190" s="30">
        <v>160.0</v>
      </c>
      <c r="Q190" s="30" t="s">
        <v>221</v>
      </c>
      <c r="R190" s="30" t="s">
        <v>222</v>
      </c>
      <c r="S190" s="30" t="s">
        <v>197</v>
      </c>
      <c r="T190" s="30" t="s">
        <v>807</v>
      </c>
      <c r="U190" s="30">
        <v>1.5717773E7</v>
      </c>
    </row>
    <row r="191">
      <c r="A191" s="71">
        <v>51.229192</v>
      </c>
      <c r="B191" s="71">
        <v>25.395995</v>
      </c>
      <c r="C191" s="30" t="str">
        <f t="shared" si="1"/>
        <v>51.229192 25.395995</v>
      </c>
      <c r="D191" s="71">
        <v>80.0</v>
      </c>
      <c r="E191" s="72" t="s">
        <v>440</v>
      </c>
      <c r="F191" s="73" t="s">
        <v>808</v>
      </c>
      <c r="G191" s="30" t="s">
        <v>190</v>
      </c>
      <c r="H191" s="74">
        <v>46105.0</v>
      </c>
      <c r="I191" s="71">
        <v>1265477.0</v>
      </c>
      <c r="J191" s="30" t="s">
        <v>201</v>
      </c>
      <c r="K191" s="34" t="s">
        <v>202</v>
      </c>
      <c r="L191" s="35"/>
      <c r="M191" s="30">
        <v>3.0</v>
      </c>
      <c r="N191" s="71" t="s">
        <v>356</v>
      </c>
      <c r="O191" s="71" t="s">
        <v>194</v>
      </c>
      <c r="P191" s="71">
        <v>160.0</v>
      </c>
      <c r="Q191" s="71" t="s">
        <v>221</v>
      </c>
      <c r="R191" s="71" t="s">
        <v>222</v>
      </c>
      <c r="S191" s="71" t="s">
        <v>197</v>
      </c>
      <c r="T191" s="71" t="s">
        <v>809</v>
      </c>
      <c r="U191" s="71">
        <v>1.5717652E7</v>
      </c>
    </row>
    <row r="192">
      <c r="A192" s="30">
        <v>51.209932</v>
      </c>
      <c r="B192" s="30">
        <v>25.499125</v>
      </c>
      <c r="C192" s="30" t="str">
        <f t="shared" si="1"/>
        <v>51.209932 25.499125</v>
      </c>
      <c r="D192" s="30">
        <v>72.0</v>
      </c>
      <c r="E192" s="36" t="s">
        <v>228</v>
      </c>
      <c r="F192" s="32" t="s">
        <v>810</v>
      </c>
      <c r="G192" s="30" t="s">
        <v>190</v>
      </c>
      <c r="H192" s="33">
        <v>46099.0</v>
      </c>
      <c r="I192" s="30">
        <v>1265488.0</v>
      </c>
      <c r="J192" s="30" t="s">
        <v>811</v>
      </c>
      <c r="K192" s="34" t="s">
        <v>291</v>
      </c>
      <c r="L192" s="35"/>
      <c r="M192" s="30">
        <v>3.0</v>
      </c>
      <c r="N192" s="30" t="s">
        <v>193</v>
      </c>
      <c r="O192" s="30" t="s">
        <v>194</v>
      </c>
      <c r="P192" s="30">
        <v>160.0</v>
      </c>
      <c r="Q192" s="30" t="s">
        <v>221</v>
      </c>
      <c r="R192" s="30" t="s">
        <v>222</v>
      </c>
      <c r="S192" s="30" t="s">
        <v>197</v>
      </c>
      <c r="T192" s="30" t="s">
        <v>812</v>
      </c>
      <c r="U192" s="30">
        <v>1.5717674E7</v>
      </c>
    </row>
    <row r="193">
      <c r="A193" s="71">
        <v>51.228553</v>
      </c>
      <c r="B193" s="71">
        <v>25.407192</v>
      </c>
      <c r="C193" s="30" t="str">
        <f t="shared" si="1"/>
        <v>51.228553 25.407192</v>
      </c>
      <c r="D193" s="71">
        <v>80.0</v>
      </c>
      <c r="E193" s="72" t="s">
        <v>454</v>
      </c>
      <c r="F193" s="73" t="s">
        <v>813</v>
      </c>
      <c r="G193" s="30" t="s">
        <v>190</v>
      </c>
      <c r="H193" s="74">
        <v>46105.0</v>
      </c>
      <c r="I193" s="71">
        <v>1353594.0</v>
      </c>
      <c r="J193" s="30" t="s">
        <v>201</v>
      </c>
      <c r="K193" s="34" t="s">
        <v>202</v>
      </c>
      <c r="L193" s="35"/>
      <c r="M193" s="30">
        <v>3.0</v>
      </c>
      <c r="N193" s="71" t="s">
        <v>193</v>
      </c>
      <c r="O193" s="71" t="s">
        <v>194</v>
      </c>
      <c r="P193" s="71">
        <v>160.0</v>
      </c>
      <c r="Q193" s="71" t="s">
        <v>221</v>
      </c>
      <c r="R193" s="71" t="s">
        <v>222</v>
      </c>
      <c r="S193" s="71" t="s">
        <v>197</v>
      </c>
      <c r="T193" s="71" t="s">
        <v>814</v>
      </c>
      <c r="U193" s="71">
        <v>1.5717751E7</v>
      </c>
    </row>
    <row r="194">
      <c r="A194" s="30">
        <v>51.209935</v>
      </c>
      <c r="B194" s="30">
        <v>25.499148</v>
      </c>
      <c r="C194" s="30" t="str">
        <f t="shared" si="1"/>
        <v>51.209935 25.499148</v>
      </c>
      <c r="D194" s="30">
        <v>72.0</v>
      </c>
      <c r="E194" s="36" t="s">
        <v>228</v>
      </c>
      <c r="F194" s="32" t="s">
        <v>815</v>
      </c>
      <c r="G194" s="30" t="s">
        <v>190</v>
      </c>
      <c r="H194" s="33">
        <v>46092.0</v>
      </c>
      <c r="I194" s="30">
        <v>1265488.0</v>
      </c>
      <c r="J194" s="30" t="s">
        <v>816</v>
      </c>
      <c r="K194" s="37" t="s">
        <v>202</v>
      </c>
      <c r="L194" s="30" t="s">
        <v>742</v>
      </c>
      <c r="M194" s="30">
        <v>3.0</v>
      </c>
      <c r="N194" s="30" t="s">
        <v>216</v>
      </c>
      <c r="O194" s="30" t="s">
        <v>194</v>
      </c>
      <c r="P194" s="30">
        <v>160.0</v>
      </c>
      <c r="Q194" s="30" t="s">
        <v>195</v>
      </c>
      <c r="R194" s="30" t="s">
        <v>196</v>
      </c>
      <c r="S194" s="30" t="s">
        <v>197</v>
      </c>
      <c r="T194" s="30" t="s">
        <v>817</v>
      </c>
      <c r="U194" s="30">
        <v>1.5717698E7</v>
      </c>
    </row>
    <row r="195">
      <c r="A195" s="30">
        <v>51.209114</v>
      </c>
      <c r="B195" s="30">
        <v>25.481055</v>
      </c>
      <c r="C195" s="30" t="str">
        <f t="shared" si="1"/>
        <v>51.209114 25.481055</v>
      </c>
      <c r="D195" s="30">
        <v>72.0</v>
      </c>
      <c r="E195" s="36" t="s">
        <v>264</v>
      </c>
      <c r="F195" s="32" t="s">
        <v>818</v>
      </c>
      <c r="G195" s="30" t="s">
        <v>190</v>
      </c>
      <c r="H195" s="33">
        <v>46099.0</v>
      </c>
      <c r="I195" s="30">
        <v>1265486.0</v>
      </c>
      <c r="J195" s="30" t="s">
        <v>819</v>
      </c>
      <c r="K195" s="34" t="s">
        <v>291</v>
      </c>
      <c r="L195" s="35"/>
      <c r="M195" s="30">
        <v>3.0</v>
      </c>
      <c r="N195" s="30" t="s">
        <v>193</v>
      </c>
      <c r="O195" s="30" t="s">
        <v>194</v>
      </c>
      <c r="P195" s="30">
        <v>160.0</v>
      </c>
      <c r="Q195" s="30" t="s">
        <v>221</v>
      </c>
      <c r="R195" s="30" t="s">
        <v>222</v>
      </c>
      <c r="S195" s="30" t="s">
        <v>197</v>
      </c>
      <c r="T195" s="30" t="s">
        <v>820</v>
      </c>
      <c r="U195" s="30">
        <v>1.5717774E7</v>
      </c>
    </row>
    <row r="196">
      <c r="A196" s="30">
        <v>51.499667</v>
      </c>
      <c r="B196" s="30">
        <v>25.384267</v>
      </c>
      <c r="C196" s="30" t="str">
        <f t="shared" si="1"/>
        <v>51.499667 25.384267</v>
      </c>
      <c r="D196" s="30">
        <v>68.0</v>
      </c>
      <c r="E196" s="36" t="s">
        <v>509</v>
      </c>
      <c r="F196" s="32" t="s">
        <v>821</v>
      </c>
      <c r="G196" s="30" t="s">
        <v>190</v>
      </c>
      <c r="H196" s="33">
        <v>46106.0</v>
      </c>
      <c r="I196" s="30">
        <v>1342555.0</v>
      </c>
      <c r="J196" s="30" t="s">
        <v>201</v>
      </c>
      <c r="K196" s="34" t="s">
        <v>202</v>
      </c>
      <c r="L196" s="35"/>
      <c r="M196" s="30">
        <v>3.0</v>
      </c>
      <c r="N196" s="30" t="s">
        <v>356</v>
      </c>
      <c r="O196" s="30" t="s">
        <v>194</v>
      </c>
      <c r="P196" s="30">
        <v>160.0</v>
      </c>
      <c r="Q196" s="30" t="s">
        <v>221</v>
      </c>
      <c r="R196" s="30" t="s">
        <v>222</v>
      </c>
      <c r="S196" s="30" t="s">
        <v>197</v>
      </c>
      <c r="T196" s="30" t="s">
        <v>822</v>
      </c>
      <c r="U196" s="30">
        <v>1.9745205E7</v>
      </c>
    </row>
    <row r="197">
      <c r="A197" s="30">
        <v>51.499928</v>
      </c>
      <c r="B197" s="30">
        <v>25.387619</v>
      </c>
      <c r="C197" s="30" t="str">
        <f t="shared" si="1"/>
        <v>51.499928 25.387619</v>
      </c>
      <c r="D197" s="30">
        <v>68.0</v>
      </c>
      <c r="E197" s="36" t="s">
        <v>823</v>
      </c>
      <c r="F197" s="32" t="s">
        <v>824</v>
      </c>
      <c r="G197" s="30" t="s">
        <v>190</v>
      </c>
      <c r="H197" s="33">
        <v>46091.0</v>
      </c>
      <c r="I197" s="30">
        <v>1342556.0</v>
      </c>
      <c r="J197" s="30" t="s">
        <v>201</v>
      </c>
      <c r="K197" s="37" t="s">
        <v>202</v>
      </c>
      <c r="L197" s="30" t="s">
        <v>195</v>
      </c>
      <c r="M197" s="30">
        <v>3.0</v>
      </c>
      <c r="N197" s="30" t="s">
        <v>193</v>
      </c>
      <c r="O197" s="30" t="s">
        <v>194</v>
      </c>
      <c r="P197" s="30">
        <v>160.0</v>
      </c>
      <c r="Q197" s="30" t="s">
        <v>221</v>
      </c>
      <c r="R197" s="30" t="s">
        <v>222</v>
      </c>
      <c r="S197" s="30" t="s">
        <v>197</v>
      </c>
      <c r="T197" s="30" t="s">
        <v>825</v>
      </c>
      <c r="U197" s="30">
        <v>1.9745206E7</v>
      </c>
    </row>
    <row r="198">
      <c r="A198" s="30">
        <v>51.497346</v>
      </c>
      <c r="B198" s="30">
        <v>25.392214</v>
      </c>
      <c r="C198" s="30" t="str">
        <f t="shared" si="1"/>
        <v>51.497346 25.392214</v>
      </c>
      <c r="D198" s="30">
        <v>68.0</v>
      </c>
      <c r="E198" s="36" t="s">
        <v>260</v>
      </c>
      <c r="F198" s="32" t="s">
        <v>826</v>
      </c>
      <c r="G198" s="30" t="s">
        <v>190</v>
      </c>
      <c r="H198" s="33">
        <v>46091.0</v>
      </c>
      <c r="I198" s="30">
        <v>1342557.0</v>
      </c>
      <c r="J198" s="30" t="s">
        <v>827</v>
      </c>
      <c r="K198" s="37" t="s">
        <v>202</v>
      </c>
      <c r="L198" s="35"/>
      <c r="M198" s="30">
        <v>2.0</v>
      </c>
      <c r="N198" s="30" t="s">
        <v>193</v>
      </c>
      <c r="O198" s="30" t="s">
        <v>194</v>
      </c>
      <c r="P198" s="30">
        <v>160.0</v>
      </c>
      <c r="Q198" s="30" t="s">
        <v>221</v>
      </c>
      <c r="R198" s="30" t="s">
        <v>222</v>
      </c>
      <c r="S198" s="30" t="s">
        <v>197</v>
      </c>
      <c r="T198" s="30" t="s">
        <v>828</v>
      </c>
      <c r="U198" s="30">
        <v>1.9745207E7</v>
      </c>
    </row>
    <row r="199">
      <c r="A199" s="30">
        <v>51.491688</v>
      </c>
      <c r="B199" s="30">
        <v>25.390105</v>
      </c>
      <c r="C199" s="30" t="str">
        <f t="shared" si="1"/>
        <v>51.491688 25.390105</v>
      </c>
      <c r="D199" s="30">
        <v>70.0</v>
      </c>
      <c r="E199" s="36" t="s">
        <v>829</v>
      </c>
      <c r="F199" s="32" t="s">
        <v>830</v>
      </c>
      <c r="G199" s="37" t="s">
        <v>190</v>
      </c>
      <c r="H199" s="33">
        <v>46092.0</v>
      </c>
      <c r="I199" s="30">
        <v>1348499.0</v>
      </c>
      <c r="J199" s="30" t="s">
        <v>201</v>
      </c>
      <c r="K199" s="34" t="s">
        <v>291</v>
      </c>
      <c r="L199" s="30" t="s">
        <v>195</v>
      </c>
      <c r="M199" s="30">
        <v>3.0</v>
      </c>
      <c r="N199" s="34" t="s">
        <v>193</v>
      </c>
      <c r="O199" s="30" t="s">
        <v>194</v>
      </c>
      <c r="P199" s="30">
        <v>160.0</v>
      </c>
      <c r="Q199" s="30" t="s">
        <v>221</v>
      </c>
      <c r="R199" s="30" t="s">
        <v>222</v>
      </c>
      <c r="S199" s="30" t="s">
        <v>197</v>
      </c>
      <c r="T199" s="30" t="s">
        <v>831</v>
      </c>
      <c r="U199" s="30">
        <v>1.9745208E7</v>
      </c>
    </row>
    <row r="200">
      <c r="A200" s="30">
        <v>51.487615</v>
      </c>
      <c r="B200" s="30">
        <v>25.387275</v>
      </c>
      <c r="C200" s="30" t="str">
        <f t="shared" si="1"/>
        <v>51.487615 25.387275</v>
      </c>
      <c r="D200" s="30">
        <v>68.0</v>
      </c>
      <c r="E200" s="36" t="s">
        <v>832</v>
      </c>
      <c r="F200" s="32" t="s">
        <v>833</v>
      </c>
      <c r="G200" s="30" t="s">
        <v>190</v>
      </c>
      <c r="H200" s="33">
        <v>46092.0</v>
      </c>
      <c r="I200" s="30">
        <v>1342558.0</v>
      </c>
      <c r="J200" s="30" t="s">
        <v>201</v>
      </c>
      <c r="K200" s="37" t="s">
        <v>202</v>
      </c>
      <c r="L200" s="35"/>
      <c r="M200" s="30">
        <v>3.0</v>
      </c>
      <c r="N200" s="30" t="s">
        <v>193</v>
      </c>
      <c r="O200" s="30" t="s">
        <v>194</v>
      </c>
      <c r="P200" s="30">
        <v>160.0</v>
      </c>
      <c r="Q200" s="30" t="s">
        <v>221</v>
      </c>
      <c r="R200" s="30" t="s">
        <v>222</v>
      </c>
      <c r="S200" s="30" t="s">
        <v>197</v>
      </c>
      <c r="T200" s="30" t="s">
        <v>834</v>
      </c>
      <c r="U200" s="30">
        <v>1.9745209E7</v>
      </c>
    </row>
    <row r="201">
      <c r="A201" s="30">
        <v>51.500809</v>
      </c>
      <c r="B201" s="30">
        <v>25.395491</v>
      </c>
      <c r="C201" s="30" t="str">
        <f t="shared" si="1"/>
        <v>51.500809 25.395491</v>
      </c>
      <c r="D201" s="30">
        <v>69.0</v>
      </c>
      <c r="E201" s="36" t="s">
        <v>835</v>
      </c>
      <c r="F201" s="32" t="s">
        <v>201</v>
      </c>
      <c r="G201" s="30" t="s">
        <v>190</v>
      </c>
      <c r="H201" s="33">
        <v>46090.0</v>
      </c>
      <c r="I201" s="30">
        <v>1342559.0</v>
      </c>
      <c r="J201" s="30" t="s">
        <v>201</v>
      </c>
      <c r="K201" s="34" t="s">
        <v>202</v>
      </c>
      <c r="L201" s="35"/>
      <c r="M201" s="30">
        <v>3.0</v>
      </c>
      <c r="N201" s="30" t="s">
        <v>193</v>
      </c>
      <c r="O201" s="30" t="s">
        <v>194</v>
      </c>
      <c r="P201" s="30">
        <v>160.0</v>
      </c>
      <c r="Q201" s="30" t="s">
        <v>221</v>
      </c>
      <c r="R201" s="30" t="s">
        <v>222</v>
      </c>
      <c r="S201" s="30" t="s">
        <v>197</v>
      </c>
      <c r="T201" s="30" t="s">
        <v>836</v>
      </c>
      <c r="U201" s="30">
        <v>1.974521E7</v>
      </c>
    </row>
    <row r="202">
      <c r="A202" s="30">
        <v>51.496292</v>
      </c>
      <c r="B202" s="30">
        <v>25.39597</v>
      </c>
      <c r="C202" s="30" t="str">
        <f t="shared" si="1"/>
        <v>51.496292 25.39597</v>
      </c>
      <c r="D202" s="30">
        <v>69.0</v>
      </c>
      <c r="E202" s="36" t="s">
        <v>837</v>
      </c>
      <c r="F202" s="32" t="s">
        <v>838</v>
      </c>
      <c r="G202" s="30" t="s">
        <v>190</v>
      </c>
      <c r="H202" s="33">
        <v>46091.0</v>
      </c>
      <c r="I202" s="30">
        <v>1342560.0</v>
      </c>
      <c r="J202" s="30" t="s">
        <v>201</v>
      </c>
      <c r="K202" s="37" t="s">
        <v>202</v>
      </c>
      <c r="L202" s="30" t="s">
        <v>195</v>
      </c>
      <c r="M202" s="30">
        <v>3.0</v>
      </c>
      <c r="N202" s="30" t="s">
        <v>193</v>
      </c>
      <c r="O202" s="30" t="s">
        <v>194</v>
      </c>
      <c r="P202" s="30">
        <v>160.0</v>
      </c>
      <c r="Q202" s="30" t="s">
        <v>221</v>
      </c>
      <c r="R202" s="30" t="s">
        <v>222</v>
      </c>
      <c r="S202" s="30" t="s">
        <v>197</v>
      </c>
      <c r="T202" s="30" t="s">
        <v>839</v>
      </c>
      <c r="U202" s="30">
        <v>1.9745211E7</v>
      </c>
    </row>
    <row r="203">
      <c r="A203" s="30">
        <v>51.495313</v>
      </c>
      <c r="B203" s="30">
        <v>25.398799</v>
      </c>
      <c r="C203" s="30" t="str">
        <f t="shared" si="1"/>
        <v>51.495313 25.398799</v>
      </c>
      <c r="D203" s="30">
        <v>69.0</v>
      </c>
      <c r="E203" s="36" t="s">
        <v>475</v>
      </c>
      <c r="F203" s="40" t="s">
        <v>201</v>
      </c>
      <c r="G203" s="30" t="s">
        <v>190</v>
      </c>
      <c r="H203" s="33">
        <v>46090.0</v>
      </c>
      <c r="I203" s="30">
        <v>134256.0</v>
      </c>
      <c r="J203" s="30" t="s">
        <v>201</v>
      </c>
      <c r="K203" s="34" t="s">
        <v>202</v>
      </c>
      <c r="L203" s="35"/>
      <c r="M203" s="30">
        <v>3.0</v>
      </c>
      <c r="N203" s="30" t="s">
        <v>193</v>
      </c>
      <c r="O203" s="30" t="s">
        <v>194</v>
      </c>
      <c r="P203" s="30">
        <v>160.0</v>
      </c>
      <c r="Q203" s="30" t="s">
        <v>221</v>
      </c>
      <c r="R203" s="30" t="s">
        <v>222</v>
      </c>
      <c r="S203" s="30" t="s">
        <v>197</v>
      </c>
      <c r="T203" s="30" t="s">
        <v>840</v>
      </c>
      <c r="U203" s="30">
        <v>1.9745212E7</v>
      </c>
    </row>
    <row r="204">
      <c r="A204" s="30">
        <v>51.477864</v>
      </c>
      <c r="B204" s="30">
        <v>25.396504</v>
      </c>
      <c r="C204" s="30" t="str">
        <f t="shared" si="1"/>
        <v>51.477864 25.396504</v>
      </c>
      <c r="D204" s="30">
        <v>70.0</v>
      </c>
      <c r="E204" s="36" t="s">
        <v>841</v>
      </c>
      <c r="F204" s="32" t="s">
        <v>842</v>
      </c>
      <c r="G204" s="30" t="s">
        <v>190</v>
      </c>
      <c r="H204" s="33">
        <v>46091.0</v>
      </c>
      <c r="I204" s="30">
        <v>1332284.0</v>
      </c>
      <c r="J204" s="30" t="s">
        <v>201</v>
      </c>
      <c r="K204" s="37" t="s">
        <v>202</v>
      </c>
      <c r="L204" s="30" t="s">
        <v>195</v>
      </c>
      <c r="M204" s="30">
        <v>3.0</v>
      </c>
      <c r="N204" s="30" t="s">
        <v>193</v>
      </c>
      <c r="O204" s="30" t="s">
        <v>194</v>
      </c>
      <c r="P204" s="30">
        <v>160.0</v>
      </c>
      <c r="Q204" s="30" t="s">
        <v>221</v>
      </c>
      <c r="R204" s="30" t="s">
        <v>222</v>
      </c>
      <c r="S204" s="30" t="s">
        <v>197</v>
      </c>
      <c r="T204" s="30" t="s">
        <v>843</v>
      </c>
      <c r="U204" s="30">
        <v>1.9745216E7</v>
      </c>
    </row>
    <row r="205">
      <c r="A205" s="30">
        <v>51.493078</v>
      </c>
      <c r="B205" s="30">
        <v>25.399471</v>
      </c>
      <c r="C205" s="30" t="str">
        <f t="shared" si="1"/>
        <v>51.493078 25.399471</v>
      </c>
      <c r="D205" s="30">
        <v>70.0</v>
      </c>
      <c r="E205" s="36" t="s">
        <v>844</v>
      </c>
      <c r="F205" s="30" t="s">
        <v>845</v>
      </c>
      <c r="G205" s="30" t="s">
        <v>190</v>
      </c>
      <c r="H205" s="33">
        <v>46091.0</v>
      </c>
      <c r="I205" s="30">
        <v>1342562.0</v>
      </c>
      <c r="J205" s="30" t="s">
        <v>201</v>
      </c>
      <c r="K205" s="37" t="s">
        <v>202</v>
      </c>
      <c r="L205" s="30" t="s">
        <v>195</v>
      </c>
      <c r="M205" s="30">
        <v>3.0</v>
      </c>
      <c r="N205" s="30" t="s">
        <v>193</v>
      </c>
      <c r="O205" s="30" t="s">
        <v>194</v>
      </c>
      <c r="P205" s="30">
        <v>160.0</v>
      </c>
      <c r="Q205" s="30" t="s">
        <v>221</v>
      </c>
      <c r="R205" s="30" t="s">
        <v>222</v>
      </c>
      <c r="S205" s="30" t="s">
        <v>197</v>
      </c>
      <c r="T205" s="30" t="s">
        <v>846</v>
      </c>
      <c r="U205" s="30">
        <v>1.9745213E7</v>
      </c>
    </row>
    <row r="206">
      <c r="A206" s="30">
        <v>51.492218</v>
      </c>
      <c r="B206" s="30">
        <v>25.403465</v>
      </c>
      <c r="C206" s="30" t="str">
        <f t="shared" si="1"/>
        <v>51.492218 25.403465</v>
      </c>
      <c r="D206" s="30">
        <v>69.0</v>
      </c>
      <c r="E206" s="36" t="s">
        <v>482</v>
      </c>
      <c r="F206" s="32" t="s">
        <v>847</v>
      </c>
      <c r="G206" s="30" t="s">
        <v>190</v>
      </c>
      <c r="H206" s="33">
        <v>46090.0</v>
      </c>
      <c r="I206" s="30">
        <v>1332286.0</v>
      </c>
      <c r="J206" s="30" t="s">
        <v>201</v>
      </c>
      <c r="K206" s="34" t="s">
        <v>202</v>
      </c>
      <c r="L206" s="35"/>
      <c r="M206" s="30">
        <v>3.0</v>
      </c>
      <c r="N206" s="30" t="s">
        <v>193</v>
      </c>
      <c r="O206" s="30" t="s">
        <v>194</v>
      </c>
      <c r="P206" s="30">
        <v>160.0</v>
      </c>
      <c r="Q206" s="30" t="s">
        <v>221</v>
      </c>
      <c r="R206" s="30" t="s">
        <v>222</v>
      </c>
      <c r="S206" s="30" t="s">
        <v>197</v>
      </c>
      <c r="T206" s="30" t="s">
        <v>848</v>
      </c>
      <c r="U206" s="30">
        <v>1.9745214E7</v>
      </c>
    </row>
    <row r="207">
      <c r="A207" s="30">
        <v>51.490284</v>
      </c>
      <c r="B207" s="30">
        <v>25.404652</v>
      </c>
      <c r="C207" s="30" t="str">
        <f t="shared" si="1"/>
        <v>51.490284 25.404652</v>
      </c>
      <c r="D207" s="30">
        <v>70.0</v>
      </c>
      <c r="E207" s="36" t="s">
        <v>849</v>
      </c>
      <c r="F207" s="32" t="s">
        <v>850</v>
      </c>
      <c r="G207" s="30" t="s">
        <v>190</v>
      </c>
      <c r="H207" s="33">
        <v>46091.0</v>
      </c>
      <c r="I207" s="30">
        <v>1332283.0</v>
      </c>
      <c r="J207" s="30" t="s">
        <v>201</v>
      </c>
      <c r="K207" s="37" t="s">
        <v>202</v>
      </c>
      <c r="L207" s="30" t="s">
        <v>195</v>
      </c>
      <c r="M207" s="30">
        <v>3.0</v>
      </c>
      <c r="N207" s="30" t="s">
        <v>193</v>
      </c>
      <c r="O207" s="30" t="s">
        <v>194</v>
      </c>
      <c r="P207" s="30">
        <v>160.0</v>
      </c>
      <c r="Q207" s="30" t="s">
        <v>221</v>
      </c>
      <c r="R207" s="30" t="s">
        <v>222</v>
      </c>
      <c r="S207" s="30" t="s">
        <v>197</v>
      </c>
      <c r="T207" s="30" t="s">
        <v>851</v>
      </c>
      <c r="U207" s="30">
        <v>1.9745215E7</v>
      </c>
    </row>
    <row r="208">
      <c r="A208" s="30">
        <v>51.481971</v>
      </c>
      <c r="B208" s="30">
        <v>25.400252</v>
      </c>
      <c r="C208" s="30" t="str">
        <f t="shared" si="1"/>
        <v>51.481971 25.400252</v>
      </c>
      <c r="D208" s="30">
        <v>70.0</v>
      </c>
      <c r="E208" s="36" t="s">
        <v>852</v>
      </c>
      <c r="F208" s="32" t="s">
        <v>853</v>
      </c>
      <c r="G208" s="30" t="s">
        <v>190</v>
      </c>
      <c r="H208" s="33">
        <v>46091.0</v>
      </c>
      <c r="I208" s="30">
        <v>1332285.0</v>
      </c>
      <c r="J208" s="30" t="s">
        <v>201</v>
      </c>
      <c r="K208" s="37" t="s">
        <v>202</v>
      </c>
      <c r="L208" s="30" t="s">
        <v>195</v>
      </c>
      <c r="M208" s="30">
        <v>3.0</v>
      </c>
      <c r="N208" s="30" t="s">
        <v>193</v>
      </c>
      <c r="O208" s="30" t="s">
        <v>194</v>
      </c>
      <c r="P208" s="30">
        <v>160.0</v>
      </c>
      <c r="Q208" s="30" t="s">
        <v>221</v>
      </c>
      <c r="R208" s="30" t="s">
        <v>222</v>
      </c>
      <c r="S208" s="30" t="s">
        <v>197</v>
      </c>
      <c r="T208" s="30" t="s">
        <v>854</v>
      </c>
      <c r="U208" s="30">
        <v>1.9745217E7</v>
      </c>
    </row>
    <row r="209">
      <c r="A209" s="30">
        <v>51.494547</v>
      </c>
      <c r="B209" s="30">
        <v>25.406653</v>
      </c>
      <c r="C209" s="30" t="str">
        <f t="shared" si="1"/>
        <v>51.494547 25.406653</v>
      </c>
      <c r="D209" s="30">
        <v>69.0</v>
      </c>
      <c r="E209" s="36" t="s">
        <v>264</v>
      </c>
      <c r="F209" s="32" t="s">
        <v>855</v>
      </c>
      <c r="G209" s="30" t="s">
        <v>190</v>
      </c>
      <c r="H209" s="33">
        <v>46090.0</v>
      </c>
      <c r="I209" s="30">
        <v>1332282.0</v>
      </c>
      <c r="J209" s="30" t="s">
        <v>201</v>
      </c>
      <c r="K209" s="34" t="s">
        <v>202</v>
      </c>
      <c r="L209" s="35"/>
      <c r="M209" s="30">
        <v>3.0</v>
      </c>
      <c r="N209" s="30" t="s">
        <v>193</v>
      </c>
      <c r="O209" s="30" t="s">
        <v>194</v>
      </c>
      <c r="P209" s="30">
        <v>160.0</v>
      </c>
      <c r="Q209" s="30" t="s">
        <v>221</v>
      </c>
      <c r="R209" s="30" t="s">
        <v>222</v>
      </c>
      <c r="S209" s="30" t="s">
        <v>197</v>
      </c>
      <c r="T209" s="30" t="s">
        <v>856</v>
      </c>
      <c r="U209" s="30">
        <v>1.9745218E7</v>
      </c>
    </row>
    <row r="210">
      <c r="A210" s="30">
        <v>51.209114</v>
      </c>
      <c r="B210" s="30">
        <v>25.481078</v>
      </c>
      <c r="C210" s="30" t="str">
        <f t="shared" si="1"/>
        <v>51.209114 25.481078</v>
      </c>
      <c r="D210" s="30">
        <v>72.0</v>
      </c>
      <c r="E210" s="36" t="s">
        <v>857</v>
      </c>
      <c r="F210" s="32" t="s">
        <v>858</v>
      </c>
      <c r="G210" s="30" t="s">
        <v>190</v>
      </c>
      <c r="H210" s="33">
        <v>46092.0</v>
      </c>
      <c r="I210" s="30">
        <v>1265486.0</v>
      </c>
      <c r="J210" s="30" t="s">
        <v>859</v>
      </c>
      <c r="K210" s="34" t="s">
        <v>202</v>
      </c>
      <c r="L210" s="30" t="s">
        <v>742</v>
      </c>
      <c r="M210" s="30">
        <v>3.0</v>
      </c>
      <c r="N210" s="30" t="s">
        <v>216</v>
      </c>
      <c r="O210" s="30" t="s">
        <v>194</v>
      </c>
      <c r="P210" s="30">
        <v>160.0</v>
      </c>
      <c r="Q210" s="30" t="s">
        <v>221</v>
      </c>
      <c r="R210" s="30" t="s">
        <v>222</v>
      </c>
      <c r="S210" s="30" t="s">
        <v>197</v>
      </c>
      <c r="T210" s="30" t="s">
        <v>860</v>
      </c>
      <c r="U210" s="30">
        <v>1.5717653E7</v>
      </c>
    </row>
    <row r="211">
      <c r="A211" s="30">
        <v>51.228555</v>
      </c>
      <c r="B211" s="30">
        <v>25.40717</v>
      </c>
      <c r="C211" s="30" t="str">
        <f t="shared" si="1"/>
        <v>51.228555 25.40717</v>
      </c>
      <c r="D211" s="30">
        <v>80.0</v>
      </c>
      <c r="E211" s="36" t="s">
        <v>454</v>
      </c>
      <c r="F211" s="32" t="s">
        <v>861</v>
      </c>
      <c r="G211" s="30" t="s">
        <v>190</v>
      </c>
      <c r="H211" s="33">
        <v>46093.0</v>
      </c>
      <c r="I211" s="30">
        <v>1353594.0</v>
      </c>
      <c r="J211" s="30" t="s">
        <v>862</v>
      </c>
      <c r="K211" s="34" t="s">
        <v>202</v>
      </c>
      <c r="L211" s="30" t="s">
        <v>742</v>
      </c>
      <c r="M211" s="30">
        <v>3.0</v>
      </c>
      <c r="N211" s="30" t="s">
        <v>216</v>
      </c>
      <c r="O211" s="30" t="s">
        <v>194</v>
      </c>
      <c r="P211" s="30">
        <v>160.0</v>
      </c>
      <c r="Q211" s="30" t="s">
        <v>221</v>
      </c>
      <c r="R211" s="30" t="s">
        <v>222</v>
      </c>
      <c r="S211" s="30" t="s">
        <v>197</v>
      </c>
      <c r="T211" s="30" t="s">
        <v>863</v>
      </c>
      <c r="U211" s="30">
        <v>1.5717699E7</v>
      </c>
    </row>
    <row r="212">
      <c r="A212" s="30">
        <v>51.225921</v>
      </c>
      <c r="B212" s="30">
        <v>25.436282</v>
      </c>
      <c r="C212" s="30" t="str">
        <f t="shared" si="1"/>
        <v>51.225921 25.436282</v>
      </c>
      <c r="D212" s="30">
        <v>80.0</v>
      </c>
      <c r="E212" s="36" t="s">
        <v>323</v>
      </c>
      <c r="F212" s="32" t="s">
        <v>864</v>
      </c>
      <c r="G212" s="30" t="s">
        <v>190</v>
      </c>
      <c r="H212" s="33">
        <v>46092.0</v>
      </c>
      <c r="I212" s="30" t="s">
        <v>865</v>
      </c>
      <c r="J212" s="30" t="s">
        <v>866</v>
      </c>
      <c r="K212" s="34" t="s">
        <v>202</v>
      </c>
      <c r="L212" s="30" t="s">
        <v>742</v>
      </c>
      <c r="M212" s="30">
        <v>4.0</v>
      </c>
      <c r="N212" s="30" t="s">
        <v>216</v>
      </c>
      <c r="O212" s="30" t="s">
        <v>194</v>
      </c>
      <c r="P212" s="30">
        <v>160.0</v>
      </c>
      <c r="Q212" s="30" t="s">
        <v>195</v>
      </c>
      <c r="R212" s="30" t="s">
        <v>222</v>
      </c>
      <c r="S212" s="30" t="s">
        <v>197</v>
      </c>
      <c r="T212" s="30" t="s">
        <v>867</v>
      </c>
      <c r="U212" s="30">
        <v>1.5717675E7</v>
      </c>
    </row>
    <row r="213">
      <c r="A213" s="30">
        <v>51.222422</v>
      </c>
      <c r="B213" s="30">
        <v>25.444775</v>
      </c>
      <c r="C213" s="30" t="str">
        <f t="shared" si="1"/>
        <v>51.222422 25.444775</v>
      </c>
      <c r="D213" s="30">
        <v>80.0</v>
      </c>
      <c r="E213" s="36" t="s">
        <v>868</v>
      </c>
      <c r="F213" s="32" t="s">
        <v>869</v>
      </c>
      <c r="G213" s="30" t="s">
        <v>190</v>
      </c>
      <c r="H213" s="33">
        <v>46092.0</v>
      </c>
      <c r="I213" s="30">
        <v>1265484.0</v>
      </c>
      <c r="J213" s="30" t="s">
        <v>870</v>
      </c>
      <c r="K213" s="34" t="s">
        <v>202</v>
      </c>
      <c r="L213" s="30" t="s">
        <v>742</v>
      </c>
      <c r="M213" s="30">
        <v>3.0</v>
      </c>
      <c r="N213" s="30" t="s">
        <v>216</v>
      </c>
      <c r="O213" s="30" t="s">
        <v>194</v>
      </c>
      <c r="P213" s="30">
        <v>160.0</v>
      </c>
      <c r="Q213" s="30" t="s">
        <v>195</v>
      </c>
      <c r="R213" s="30" t="s">
        <v>222</v>
      </c>
      <c r="S213" s="30" t="s">
        <v>197</v>
      </c>
      <c r="T213" s="30" t="s">
        <v>871</v>
      </c>
      <c r="U213" s="30">
        <v>1.5717775E7</v>
      </c>
    </row>
    <row r="214">
      <c r="A214" s="71">
        <v>51.219769</v>
      </c>
      <c r="B214" s="71">
        <v>25.450946</v>
      </c>
      <c r="C214" s="30" t="str">
        <f t="shared" si="1"/>
        <v>51.219769 25.450946</v>
      </c>
      <c r="D214" s="71">
        <v>80.0</v>
      </c>
      <c r="E214" s="72" t="s">
        <v>471</v>
      </c>
      <c r="F214" s="73" t="s">
        <v>872</v>
      </c>
      <c r="G214" s="30" t="s">
        <v>190</v>
      </c>
      <c r="H214" s="74">
        <v>46105.0</v>
      </c>
      <c r="I214" s="71">
        <v>1265483.0</v>
      </c>
      <c r="J214" s="30" t="s">
        <v>201</v>
      </c>
      <c r="K214" s="34" t="s">
        <v>202</v>
      </c>
      <c r="L214" s="35"/>
      <c r="M214" s="30">
        <v>3.0</v>
      </c>
      <c r="N214" s="71" t="s">
        <v>193</v>
      </c>
      <c r="O214" s="71" t="s">
        <v>194</v>
      </c>
      <c r="P214" s="71">
        <v>160.0</v>
      </c>
      <c r="Q214" s="71" t="s">
        <v>221</v>
      </c>
      <c r="R214" s="71" t="s">
        <v>222</v>
      </c>
      <c r="S214" s="71" t="s">
        <v>197</v>
      </c>
      <c r="T214" s="71" t="s">
        <v>873</v>
      </c>
      <c r="U214" s="71">
        <v>1.57177E7</v>
      </c>
    </row>
    <row r="215">
      <c r="A215" s="30">
        <v>51.21524</v>
      </c>
      <c r="B215" s="30">
        <v>25.461502</v>
      </c>
      <c r="C215" s="30" t="str">
        <f t="shared" si="1"/>
        <v>51.21524 25.461502</v>
      </c>
      <c r="D215" s="30">
        <v>80.0</v>
      </c>
      <c r="E215" s="36" t="s">
        <v>475</v>
      </c>
      <c r="F215" s="32" t="s">
        <v>874</v>
      </c>
      <c r="G215" s="30" t="s">
        <v>190</v>
      </c>
      <c r="H215" s="33">
        <v>46092.0</v>
      </c>
      <c r="I215" s="30">
        <v>1265482.0</v>
      </c>
      <c r="J215" s="30" t="s">
        <v>875</v>
      </c>
      <c r="K215" s="34" t="s">
        <v>202</v>
      </c>
      <c r="L215" s="30" t="s">
        <v>742</v>
      </c>
      <c r="M215" s="30">
        <v>3.0</v>
      </c>
      <c r="N215" s="30" t="s">
        <v>216</v>
      </c>
      <c r="O215" s="30" t="s">
        <v>194</v>
      </c>
      <c r="P215" s="30">
        <v>160.0</v>
      </c>
      <c r="Q215" s="30" t="s">
        <v>195</v>
      </c>
      <c r="R215" s="30" t="s">
        <v>222</v>
      </c>
      <c r="S215" s="30" t="s">
        <v>197</v>
      </c>
      <c r="T215" s="30" t="s">
        <v>876</v>
      </c>
      <c r="U215" s="30">
        <v>1.5717676E7</v>
      </c>
    </row>
    <row r="216">
      <c r="A216" s="30">
        <v>51.21165</v>
      </c>
      <c r="B216" s="30">
        <v>25.469863</v>
      </c>
      <c r="C216" s="30" t="str">
        <f t="shared" si="1"/>
        <v>51.21165 25.469863</v>
      </c>
      <c r="D216" s="30">
        <v>80.0</v>
      </c>
      <c r="E216" s="36" t="s">
        <v>726</v>
      </c>
      <c r="F216" s="32" t="s">
        <v>877</v>
      </c>
      <c r="G216" s="30" t="s">
        <v>190</v>
      </c>
      <c r="H216" s="33">
        <v>46092.0</v>
      </c>
      <c r="I216" s="30">
        <v>1265485.0</v>
      </c>
      <c r="J216" s="30" t="s">
        <v>878</v>
      </c>
      <c r="K216" s="34" t="s">
        <v>202</v>
      </c>
      <c r="L216" s="30" t="s">
        <v>742</v>
      </c>
      <c r="M216" s="30">
        <v>3.0</v>
      </c>
      <c r="N216" s="30" t="s">
        <v>216</v>
      </c>
      <c r="O216" s="30" t="s">
        <v>194</v>
      </c>
      <c r="P216" s="30">
        <v>160.0</v>
      </c>
      <c r="Q216" s="30" t="s">
        <v>195</v>
      </c>
      <c r="R216" s="30" t="s">
        <v>222</v>
      </c>
      <c r="S216" s="30" t="s">
        <v>197</v>
      </c>
      <c r="T216" s="30" t="s">
        <v>879</v>
      </c>
      <c r="U216" s="30">
        <v>1.5717701E7</v>
      </c>
    </row>
    <row r="217">
      <c r="A217" s="30">
        <v>51.209297</v>
      </c>
      <c r="B217" s="30">
        <v>25.492379</v>
      </c>
      <c r="C217" s="30" t="str">
        <f t="shared" si="1"/>
        <v>51.209297 25.492379</v>
      </c>
      <c r="D217" s="30">
        <v>72.0</v>
      </c>
      <c r="E217" s="36" t="s">
        <v>375</v>
      </c>
      <c r="F217" s="32" t="s">
        <v>880</v>
      </c>
      <c r="G217" s="30" t="s">
        <v>190</v>
      </c>
      <c r="H217" s="33">
        <v>46092.0</v>
      </c>
      <c r="I217" s="30">
        <v>1265487.0</v>
      </c>
      <c r="J217" s="30" t="s">
        <v>875</v>
      </c>
      <c r="K217" s="34" t="s">
        <v>202</v>
      </c>
      <c r="L217" s="30" t="s">
        <v>742</v>
      </c>
      <c r="M217" s="30">
        <v>3.0</v>
      </c>
      <c r="N217" s="30" t="s">
        <v>216</v>
      </c>
      <c r="O217" s="30" t="s">
        <v>194</v>
      </c>
      <c r="P217" s="30">
        <v>160.0</v>
      </c>
      <c r="Q217" s="30" t="s">
        <v>195</v>
      </c>
      <c r="R217" s="30" t="s">
        <v>222</v>
      </c>
      <c r="S217" s="30" t="s">
        <v>197</v>
      </c>
      <c r="T217" s="30" t="s">
        <v>881</v>
      </c>
      <c r="U217" s="30">
        <v>1.5717635E7</v>
      </c>
    </row>
    <row r="218">
      <c r="A218" s="71">
        <v>51.11888</v>
      </c>
      <c r="B218" s="71">
        <v>25.583495</v>
      </c>
      <c r="C218" s="30" t="str">
        <f t="shared" si="1"/>
        <v>51.11888 25.583495</v>
      </c>
      <c r="D218" s="71">
        <v>72.0</v>
      </c>
      <c r="E218" s="72" t="s">
        <v>882</v>
      </c>
      <c r="F218" s="73" t="s">
        <v>883</v>
      </c>
      <c r="G218" s="30" t="s">
        <v>190</v>
      </c>
      <c r="H218" s="74">
        <v>46104.0</v>
      </c>
      <c r="I218" s="71">
        <v>1276000.0</v>
      </c>
      <c r="J218" s="30" t="s">
        <v>884</v>
      </c>
      <c r="K218" s="34" t="s">
        <v>192</v>
      </c>
      <c r="L218" s="35"/>
      <c r="M218" s="30">
        <v>3.0</v>
      </c>
      <c r="N218" s="71" t="s">
        <v>193</v>
      </c>
      <c r="O218" s="71" t="s">
        <v>194</v>
      </c>
      <c r="P218" s="71">
        <v>160.0</v>
      </c>
      <c r="Q218" s="71" t="s">
        <v>221</v>
      </c>
      <c r="R218" s="71" t="s">
        <v>222</v>
      </c>
      <c r="S218" s="71" t="s">
        <v>197</v>
      </c>
      <c r="T218" s="71" t="s">
        <v>885</v>
      </c>
      <c r="U218" s="71">
        <v>1.5717702E7</v>
      </c>
    </row>
    <row r="219">
      <c r="A219" s="30">
        <v>51.118897</v>
      </c>
      <c r="B219" s="30">
        <v>25.583479</v>
      </c>
      <c r="C219" s="30" t="str">
        <f t="shared" si="1"/>
        <v>51.118897 25.583479</v>
      </c>
      <c r="D219" s="30">
        <v>72.0</v>
      </c>
      <c r="E219" s="36" t="s">
        <v>886</v>
      </c>
      <c r="F219" s="32" t="s">
        <v>887</v>
      </c>
      <c r="G219" s="30" t="s">
        <v>190</v>
      </c>
      <c r="H219" s="33">
        <v>46094.0</v>
      </c>
      <c r="I219" s="30">
        <v>1266000.0</v>
      </c>
      <c r="J219" s="30" t="s">
        <v>888</v>
      </c>
      <c r="K219" s="34" t="s">
        <v>202</v>
      </c>
      <c r="L219" s="30" t="s">
        <v>742</v>
      </c>
      <c r="M219" s="30">
        <v>3.0</v>
      </c>
      <c r="N219" s="30" t="s">
        <v>216</v>
      </c>
      <c r="O219" s="30" t="s">
        <v>194</v>
      </c>
      <c r="P219" s="30">
        <v>160.0</v>
      </c>
      <c r="Q219" s="30" t="s">
        <v>221</v>
      </c>
      <c r="R219" s="30" t="s">
        <v>222</v>
      </c>
      <c r="S219" s="30" t="s">
        <v>197</v>
      </c>
      <c r="T219" s="30" t="s">
        <v>889</v>
      </c>
      <c r="U219" s="30">
        <v>1.5717677E7</v>
      </c>
    </row>
    <row r="220">
      <c r="A220" s="30">
        <v>51.132717</v>
      </c>
      <c r="B220" s="30">
        <v>25.570522</v>
      </c>
      <c r="C220" s="30" t="str">
        <f t="shared" si="1"/>
        <v>51.132717 25.570522</v>
      </c>
      <c r="D220" s="30">
        <v>72.0</v>
      </c>
      <c r="E220" s="36" t="s">
        <v>890</v>
      </c>
      <c r="F220" s="32" t="s">
        <v>891</v>
      </c>
      <c r="G220" s="30" t="s">
        <v>190</v>
      </c>
      <c r="H220" s="33">
        <v>46094.0</v>
      </c>
      <c r="I220" s="30">
        <v>1266001.0</v>
      </c>
      <c r="J220" s="30" t="s">
        <v>888</v>
      </c>
      <c r="K220" s="34" t="s">
        <v>202</v>
      </c>
      <c r="L220" s="30" t="s">
        <v>742</v>
      </c>
      <c r="M220" s="30">
        <v>3.0</v>
      </c>
      <c r="N220" s="30" t="s">
        <v>216</v>
      </c>
      <c r="O220" s="30" t="s">
        <v>194</v>
      </c>
      <c r="P220" s="30">
        <v>160.0</v>
      </c>
      <c r="Q220" s="30" t="s">
        <v>195</v>
      </c>
      <c r="R220" s="30" t="s">
        <v>222</v>
      </c>
      <c r="S220" s="30" t="s">
        <v>197</v>
      </c>
      <c r="T220" s="30" t="s">
        <v>892</v>
      </c>
      <c r="U220" s="30">
        <v>1.5717703E7</v>
      </c>
    </row>
    <row r="221">
      <c r="A221" s="30">
        <v>51.125813</v>
      </c>
      <c r="B221" s="30">
        <v>25.576995</v>
      </c>
      <c r="C221" s="30" t="str">
        <f t="shared" si="1"/>
        <v>51.125813 25.576995</v>
      </c>
      <c r="D221" s="30">
        <v>72.0</v>
      </c>
      <c r="E221" s="36" t="s">
        <v>893</v>
      </c>
      <c r="F221" s="32" t="s">
        <v>894</v>
      </c>
      <c r="G221" s="30" t="s">
        <v>190</v>
      </c>
      <c r="H221" s="33">
        <v>46094.0</v>
      </c>
      <c r="I221" s="30">
        <v>1266002.0</v>
      </c>
      <c r="J221" s="30" t="s">
        <v>888</v>
      </c>
      <c r="K221" s="34" t="s">
        <v>202</v>
      </c>
      <c r="L221" s="30" t="s">
        <v>742</v>
      </c>
      <c r="M221" s="30">
        <v>3.0</v>
      </c>
      <c r="N221" s="30" t="s">
        <v>216</v>
      </c>
      <c r="O221" s="30" t="s">
        <v>194</v>
      </c>
      <c r="P221" s="30">
        <v>160.0</v>
      </c>
      <c r="Q221" s="30" t="s">
        <v>195</v>
      </c>
      <c r="R221" s="30" t="s">
        <v>222</v>
      </c>
      <c r="S221" s="30" t="s">
        <v>197</v>
      </c>
      <c r="T221" s="30" t="s">
        <v>895</v>
      </c>
      <c r="U221" s="30">
        <v>1.5717636E7</v>
      </c>
    </row>
    <row r="222">
      <c r="A222" s="71">
        <v>51.125796</v>
      </c>
      <c r="B222" s="71">
        <v>25.577011</v>
      </c>
      <c r="C222" s="30" t="str">
        <f t="shared" si="1"/>
        <v>51.125796 25.577011</v>
      </c>
      <c r="D222" s="71">
        <v>72.0</v>
      </c>
      <c r="E222" s="72" t="s">
        <v>896</v>
      </c>
      <c r="F222" s="73" t="s">
        <v>897</v>
      </c>
      <c r="G222" s="30" t="s">
        <v>190</v>
      </c>
      <c r="H222" s="74">
        <v>46104.0</v>
      </c>
      <c r="I222" s="71">
        <v>1266002.0</v>
      </c>
      <c r="J222" s="30" t="s">
        <v>898</v>
      </c>
      <c r="K222" s="34" t="s">
        <v>192</v>
      </c>
      <c r="L222" s="35"/>
      <c r="M222" s="30">
        <v>3.0</v>
      </c>
      <c r="N222" s="71" t="s">
        <v>193</v>
      </c>
      <c r="O222" s="71" t="s">
        <v>194</v>
      </c>
      <c r="P222" s="71">
        <v>160.0</v>
      </c>
      <c r="Q222" s="71" t="s">
        <v>221</v>
      </c>
      <c r="R222" s="71" t="s">
        <v>222</v>
      </c>
      <c r="S222" s="71" t="s">
        <v>197</v>
      </c>
      <c r="T222" s="71" t="s">
        <v>899</v>
      </c>
      <c r="U222" s="71">
        <v>1.5717752E7</v>
      </c>
    </row>
    <row r="223">
      <c r="A223" s="30">
        <v>51.49015</v>
      </c>
      <c r="B223" s="30">
        <v>25.407794</v>
      </c>
      <c r="C223" s="30" t="str">
        <f t="shared" si="1"/>
        <v>51.49015 25.407794</v>
      </c>
      <c r="D223" s="30">
        <v>69.0</v>
      </c>
      <c r="E223" s="36" t="s">
        <v>293</v>
      </c>
      <c r="F223" s="32" t="s">
        <v>900</v>
      </c>
      <c r="G223" s="30" t="s">
        <v>190</v>
      </c>
      <c r="H223" s="33">
        <v>46090.0</v>
      </c>
      <c r="I223" s="30">
        <v>1332287.0</v>
      </c>
      <c r="J223" s="30" t="s">
        <v>201</v>
      </c>
      <c r="K223" s="34" t="s">
        <v>202</v>
      </c>
      <c r="L223" s="35"/>
      <c r="M223" s="30">
        <v>3.0</v>
      </c>
      <c r="N223" s="30" t="s">
        <v>193</v>
      </c>
      <c r="O223" s="30" t="s">
        <v>194</v>
      </c>
      <c r="P223" s="30">
        <v>160.0</v>
      </c>
      <c r="Q223" s="30" t="s">
        <v>221</v>
      </c>
      <c r="R223" s="30" t="s">
        <v>222</v>
      </c>
      <c r="S223" s="30" t="s">
        <v>197</v>
      </c>
      <c r="T223" s="30" t="s">
        <v>901</v>
      </c>
      <c r="U223" s="30">
        <v>1.9745219E7</v>
      </c>
    </row>
    <row r="224">
      <c r="A224" s="30">
        <v>51.488028</v>
      </c>
      <c r="B224" s="30">
        <v>25.408732</v>
      </c>
      <c r="C224" s="30" t="str">
        <f t="shared" si="1"/>
        <v>51.488028 25.408732</v>
      </c>
      <c r="D224" s="30">
        <v>70.0</v>
      </c>
      <c r="E224" s="36" t="s">
        <v>902</v>
      </c>
      <c r="F224" s="32" t="s">
        <v>903</v>
      </c>
      <c r="G224" s="30" t="s">
        <v>190</v>
      </c>
      <c r="H224" s="33">
        <v>46091.0</v>
      </c>
      <c r="I224" s="30">
        <v>1336938.0</v>
      </c>
      <c r="J224" s="30" t="s">
        <v>201</v>
      </c>
      <c r="K224" s="37" t="s">
        <v>202</v>
      </c>
      <c r="L224" s="30" t="s">
        <v>195</v>
      </c>
      <c r="M224" s="30">
        <v>3.0</v>
      </c>
      <c r="N224" s="30" t="s">
        <v>193</v>
      </c>
      <c r="O224" s="30" t="s">
        <v>194</v>
      </c>
      <c r="P224" s="30">
        <v>160.0</v>
      </c>
      <c r="Q224" s="30" t="s">
        <v>221</v>
      </c>
      <c r="R224" s="30" t="s">
        <v>222</v>
      </c>
      <c r="S224" s="30" t="s">
        <v>197</v>
      </c>
      <c r="T224" s="30" t="s">
        <v>904</v>
      </c>
      <c r="U224" s="30">
        <v>1.974522E7</v>
      </c>
    </row>
    <row r="225">
      <c r="A225" s="30">
        <v>51.489689</v>
      </c>
      <c r="B225" s="30">
        <v>25.411461</v>
      </c>
      <c r="C225" s="30" t="str">
        <f t="shared" si="1"/>
        <v>51.489689 25.411461</v>
      </c>
      <c r="D225" s="30">
        <v>69.0</v>
      </c>
      <c r="E225" s="36" t="s">
        <v>509</v>
      </c>
      <c r="F225" s="32" t="s">
        <v>905</v>
      </c>
      <c r="G225" s="30" t="s">
        <v>190</v>
      </c>
      <c r="H225" s="33">
        <v>46090.0</v>
      </c>
      <c r="I225" s="30" t="s">
        <v>201</v>
      </c>
      <c r="J225" s="30" t="s">
        <v>201</v>
      </c>
      <c r="K225" s="34" t="s">
        <v>202</v>
      </c>
      <c r="L225" s="35"/>
      <c r="M225" s="30">
        <v>3.0</v>
      </c>
      <c r="N225" s="30" t="s">
        <v>193</v>
      </c>
      <c r="O225" s="30" t="s">
        <v>194</v>
      </c>
      <c r="P225" s="30">
        <v>160.0</v>
      </c>
      <c r="Q225" s="30" t="s">
        <v>221</v>
      </c>
      <c r="R225" s="30" t="s">
        <v>222</v>
      </c>
      <c r="S225" s="30" t="s">
        <v>197</v>
      </c>
      <c r="T225" s="30" t="s">
        <v>906</v>
      </c>
      <c r="U225" s="30">
        <v>1.9745221E7</v>
      </c>
    </row>
    <row r="226">
      <c r="A226" s="71">
        <v>51.487542</v>
      </c>
      <c r="B226" s="71">
        <v>25.413505</v>
      </c>
      <c r="C226" s="30" t="str">
        <f t="shared" si="1"/>
        <v>51.487542 25.413505</v>
      </c>
      <c r="D226" s="71">
        <v>70.0</v>
      </c>
      <c r="E226" s="72" t="s">
        <v>907</v>
      </c>
      <c r="F226" s="73" t="s">
        <v>908</v>
      </c>
      <c r="G226" s="30" t="s">
        <v>190</v>
      </c>
      <c r="H226" s="74">
        <v>46104.0</v>
      </c>
      <c r="I226" s="71">
        <v>1336947.0</v>
      </c>
      <c r="J226" s="30" t="s">
        <v>909</v>
      </c>
      <c r="K226" s="34" t="s">
        <v>192</v>
      </c>
      <c r="L226" s="35"/>
      <c r="M226" s="30">
        <v>3.0</v>
      </c>
      <c r="N226" s="71" t="s">
        <v>193</v>
      </c>
      <c r="O226" s="71" t="s">
        <v>194</v>
      </c>
      <c r="P226" s="71">
        <v>160.0</v>
      </c>
      <c r="Q226" s="71" t="s">
        <v>221</v>
      </c>
      <c r="R226" s="71" t="s">
        <v>222</v>
      </c>
      <c r="S226" s="71" t="s">
        <v>197</v>
      </c>
      <c r="T226" s="71" t="s">
        <v>910</v>
      </c>
      <c r="U226" s="71">
        <v>1.9745222E7</v>
      </c>
    </row>
    <row r="227">
      <c r="A227" s="30">
        <v>51.488062</v>
      </c>
      <c r="B227" s="30">
        <v>25.416161</v>
      </c>
      <c r="C227" s="30" t="str">
        <f t="shared" si="1"/>
        <v>51.488062 25.416161</v>
      </c>
      <c r="D227" s="30">
        <v>69.0</v>
      </c>
      <c r="E227" s="36" t="s">
        <v>444</v>
      </c>
      <c r="F227" s="32" t="s">
        <v>911</v>
      </c>
      <c r="G227" s="30" t="s">
        <v>190</v>
      </c>
      <c r="H227" s="33">
        <v>46090.0</v>
      </c>
      <c r="I227" s="30">
        <v>1336946.0</v>
      </c>
      <c r="J227" s="30" t="s">
        <v>201</v>
      </c>
      <c r="K227" s="34" t="s">
        <v>291</v>
      </c>
      <c r="L227" s="35"/>
      <c r="M227" s="30">
        <v>3.0</v>
      </c>
      <c r="N227" s="30" t="s">
        <v>193</v>
      </c>
      <c r="O227" s="30" t="s">
        <v>194</v>
      </c>
      <c r="P227" s="30">
        <v>160.0</v>
      </c>
      <c r="Q227" s="30" t="s">
        <v>221</v>
      </c>
      <c r="R227" s="30" t="s">
        <v>222</v>
      </c>
      <c r="S227" s="30" t="s">
        <v>197</v>
      </c>
      <c r="T227" s="30" t="s">
        <v>912</v>
      </c>
      <c r="U227" s="30">
        <v>1.9745223E7</v>
      </c>
    </row>
    <row r="228">
      <c r="A228" s="30">
        <v>51.486625</v>
      </c>
      <c r="B228" s="30">
        <v>25.417089</v>
      </c>
      <c r="C228" s="30" t="str">
        <f t="shared" si="1"/>
        <v>51.486625 25.417089</v>
      </c>
      <c r="D228" s="30">
        <v>70.0</v>
      </c>
      <c r="E228" s="36" t="s">
        <v>832</v>
      </c>
      <c r="F228" s="32" t="s">
        <v>913</v>
      </c>
      <c r="G228" s="37" t="s">
        <v>190</v>
      </c>
      <c r="H228" s="33">
        <v>46092.0</v>
      </c>
      <c r="I228" s="30">
        <v>1342558.0</v>
      </c>
      <c r="J228" s="30" t="s">
        <v>201</v>
      </c>
      <c r="K228" s="34" t="s">
        <v>291</v>
      </c>
      <c r="L228" s="30" t="s">
        <v>195</v>
      </c>
      <c r="M228" s="30">
        <v>3.0</v>
      </c>
      <c r="N228" s="30" t="s">
        <v>193</v>
      </c>
      <c r="O228" s="30" t="s">
        <v>194</v>
      </c>
      <c r="P228" s="30">
        <v>160.0</v>
      </c>
      <c r="Q228" s="30" t="s">
        <v>221</v>
      </c>
      <c r="R228" s="30" t="s">
        <v>222</v>
      </c>
      <c r="S228" s="30" t="s">
        <v>197</v>
      </c>
      <c r="T228" s="30" t="s">
        <v>914</v>
      </c>
      <c r="U228" s="30">
        <v>1.9745224E7</v>
      </c>
    </row>
    <row r="229">
      <c r="A229" s="30">
        <v>51.485702</v>
      </c>
      <c r="B229" s="30">
        <v>25.421204</v>
      </c>
      <c r="C229" s="30" t="str">
        <f t="shared" si="1"/>
        <v>51.485702 25.421204</v>
      </c>
      <c r="D229" s="30">
        <v>70.0</v>
      </c>
      <c r="E229" s="36" t="s">
        <v>915</v>
      </c>
      <c r="F229" s="32" t="s">
        <v>916</v>
      </c>
      <c r="G229" s="37" t="s">
        <v>190</v>
      </c>
      <c r="H229" s="33">
        <v>46092.0</v>
      </c>
      <c r="I229" s="30">
        <v>1336944.0</v>
      </c>
      <c r="J229" s="30" t="s">
        <v>201</v>
      </c>
      <c r="K229" s="34" t="s">
        <v>291</v>
      </c>
      <c r="L229" s="30" t="s">
        <v>195</v>
      </c>
      <c r="M229" s="30">
        <v>3.0</v>
      </c>
      <c r="N229" s="30" t="s">
        <v>193</v>
      </c>
      <c r="O229" s="30" t="s">
        <v>194</v>
      </c>
      <c r="P229" s="30">
        <v>160.0</v>
      </c>
      <c r="Q229" s="30" t="s">
        <v>221</v>
      </c>
      <c r="R229" s="30" t="s">
        <v>222</v>
      </c>
      <c r="S229" s="30" t="s">
        <v>197</v>
      </c>
      <c r="T229" s="30" t="s">
        <v>917</v>
      </c>
      <c r="U229" s="30">
        <v>1.9745225E7</v>
      </c>
    </row>
    <row r="230">
      <c r="A230" s="34">
        <v>51.485001</v>
      </c>
      <c r="B230" s="30">
        <v>25.424957</v>
      </c>
      <c r="C230" s="30" t="str">
        <f t="shared" si="1"/>
        <v>51.485001 25.424957</v>
      </c>
      <c r="D230" s="30">
        <v>70.0</v>
      </c>
      <c r="E230" s="36" t="s">
        <v>918</v>
      </c>
      <c r="F230" s="32" t="s">
        <v>919</v>
      </c>
      <c r="G230" s="37" t="s">
        <v>190</v>
      </c>
      <c r="H230" s="33">
        <v>46092.0</v>
      </c>
      <c r="I230" s="30">
        <v>1336943.0</v>
      </c>
      <c r="J230" s="30" t="s">
        <v>201</v>
      </c>
      <c r="K230" s="34" t="s">
        <v>291</v>
      </c>
      <c r="L230" s="30" t="s">
        <v>195</v>
      </c>
      <c r="M230" s="30">
        <v>3.0</v>
      </c>
      <c r="N230" s="30" t="s">
        <v>193</v>
      </c>
      <c r="O230" s="30" t="s">
        <v>194</v>
      </c>
      <c r="P230" s="30">
        <v>160.0</v>
      </c>
      <c r="Q230" s="30" t="s">
        <v>221</v>
      </c>
      <c r="R230" s="30" t="s">
        <v>222</v>
      </c>
      <c r="S230" s="30" t="s">
        <v>197</v>
      </c>
      <c r="T230" s="30" t="s">
        <v>920</v>
      </c>
      <c r="U230" s="30">
        <v>1.9745226E7</v>
      </c>
    </row>
    <row r="231">
      <c r="A231" s="34">
        <v>51.483375</v>
      </c>
      <c r="B231" s="30">
        <v>25.435597</v>
      </c>
      <c r="C231" s="30" t="str">
        <f t="shared" si="1"/>
        <v>51.483375 25.435597</v>
      </c>
      <c r="D231" s="30">
        <v>69.0</v>
      </c>
      <c r="E231" s="36" t="s">
        <v>921</v>
      </c>
      <c r="F231" s="32" t="s">
        <v>922</v>
      </c>
      <c r="G231" s="30" t="s">
        <v>190</v>
      </c>
      <c r="H231" s="33">
        <v>46097.0</v>
      </c>
      <c r="I231" s="30">
        <v>1336937.0</v>
      </c>
      <c r="J231" s="30" t="s">
        <v>923</v>
      </c>
      <c r="K231" s="30" t="s">
        <v>291</v>
      </c>
      <c r="L231" s="35"/>
      <c r="M231" s="30">
        <v>3.0</v>
      </c>
      <c r="N231" s="30" t="s">
        <v>465</v>
      </c>
      <c r="O231" s="30" t="s">
        <v>194</v>
      </c>
      <c r="P231" s="30">
        <v>160.0</v>
      </c>
      <c r="Q231" s="30" t="s">
        <v>221</v>
      </c>
      <c r="R231" s="30" t="s">
        <v>222</v>
      </c>
      <c r="S231" s="30" t="s">
        <v>197</v>
      </c>
      <c r="T231" s="30" t="s">
        <v>924</v>
      </c>
      <c r="U231" s="30">
        <v>1.974523E7</v>
      </c>
    </row>
    <row r="232">
      <c r="A232" s="75">
        <v>51.483974</v>
      </c>
      <c r="B232" s="71">
        <v>25.42938</v>
      </c>
      <c r="C232" s="30" t="str">
        <f t="shared" si="1"/>
        <v>51.483974 25.42938</v>
      </c>
      <c r="D232" s="71">
        <v>70.0</v>
      </c>
      <c r="E232" s="72" t="s">
        <v>925</v>
      </c>
      <c r="F232" s="73" t="s">
        <v>926</v>
      </c>
      <c r="G232" s="30" t="s">
        <v>190</v>
      </c>
      <c r="H232" s="74">
        <v>46104.0</v>
      </c>
      <c r="I232" s="71">
        <v>1336942.0</v>
      </c>
      <c r="J232" s="30" t="s">
        <v>927</v>
      </c>
      <c r="K232" s="34" t="s">
        <v>192</v>
      </c>
      <c r="L232" s="35"/>
      <c r="M232" s="30">
        <v>3.0</v>
      </c>
      <c r="N232" s="71" t="s">
        <v>193</v>
      </c>
      <c r="O232" s="71" t="s">
        <v>194</v>
      </c>
      <c r="P232" s="71">
        <v>160.0</v>
      </c>
      <c r="Q232" s="71" t="s">
        <v>221</v>
      </c>
      <c r="R232" s="71" t="s">
        <v>222</v>
      </c>
      <c r="S232" s="71" t="s">
        <v>197</v>
      </c>
      <c r="T232" s="71" t="s">
        <v>928</v>
      </c>
      <c r="U232" s="71">
        <v>1.9745227E7</v>
      </c>
    </row>
    <row r="233">
      <c r="A233" s="34">
        <v>51.477197</v>
      </c>
      <c r="B233" s="30">
        <v>25.427496</v>
      </c>
      <c r="C233" s="30" t="str">
        <f t="shared" si="1"/>
        <v>51.477197 25.427496</v>
      </c>
      <c r="D233" s="30">
        <v>70.0</v>
      </c>
      <c r="E233" s="36" t="s">
        <v>929</v>
      </c>
      <c r="F233" s="32" t="s">
        <v>930</v>
      </c>
      <c r="G233" s="37" t="s">
        <v>190</v>
      </c>
      <c r="H233" s="33">
        <v>46092.0</v>
      </c>
      <c r="I233" s="30">
        <v>1336942.0</v>
      </c>
      <c r="J233" s="30" t="s">
        <v>201</v>
      </c>
      <c r="K233" s="34" t="s">
        <v>291</v>
      </c>
      <c r="L233" s="30" t="s">
        <v>195</v>
      </c>
      <c r="M233" s="30">
        <v>3.0</v>
      </c>
      <c r="N233" s="30" t="s">
        <v>193</v>
      </c>
      <c r="O233" s="30" t="s">
        <v>194</v>
      </c>
      <c r="P233" s="30">
        <v>160.0</v>
      </c>
      <c r="Q233" s="30" t="s">
        <v>221</v>
      </c>
      <c r="R233" s="30" t="s">
        <v>222</v>
      </c>
      <c r="S233" s="30" t="s">
        <v>197</v>
      </c>
      <c r="T233" s="30" t="s">
        <v>931</v>
      </c>
      <c r="U233" s="30">
        <v>1.9745228E7</v>
      </c>
    </row>
    <row r="234">
      <c r="A234" s="34">
        <v>51.486919</v>
      </c>
      <c r="B234" s="30">
        <v>25.432151</v>
      </c>
      <c r="C234" s="30" t="str">
        <f t="shared" si="1"/>
        <v>51.486919 25.432151</v>
      </c>
      <c r="D234" s="30">
        <v>69.0</v>
      </c>
      <c r="E234" s="36" t="s">
        <v>932</v>
      </c>
      <c r="F234" s="32" t="s">
        <v>933</v>
      </c>
      <c r="G234" s="30" t="s">
        <v>190</v>
      </c>
      <c r="H234" s="33">
        <v>46097.0</v>
      </c>
      <c r="I234" s="30">
        <v>1336939.0</v>
      </c>
      <c r="J234" s="30" t="s">
        <v>923</v>
      </c>
      <c r="K234" s="30" t="s">
        <v>291</v>
      </c>
      <c r="L234" s="35"/>
      <c r="M234" s="30">
        <v>3.0</v>
      </c>
      <c r="N234" s="30" t="s">
        <v>465</v>
      </c>
      <c r="O234" s="30" t="s">
        <v>194</v>
      </c>
      <c r="P234" s="30">
        <v>160.0</v>
      </c>
      <c r="Q234" s="30" t="s">
        <v>221</v>
      </c>
      <c r="R234" s="30" t="s">
        <v>222</v>
      </c>
      <c r="S234" s="30" t="s">
        <v>197</v>
      </c>
      <c r="T234" s="30" t="s">
        <v>934</v>
      </c>
      <c r="U234" s="30">
        <v>1.9745229E7</v>
      </c>
    </row>
    <row r="235">
      <c r="A235" s="34">
        <v>51.481406</v>
      </c>
      <c r="B235" s="30">
        <v>25.440016</v>
      </c>
      <c r="C235" s="30" t="str">
        <f t="shared" si="1"/>
        <v>51.481406 25.440016</v>
      </c>
      <c r="D235" s="30">
        <v>70.0</v>
      </c>
      <c r="E235" s="36" t="s">
        <v>935</v>
      </c>
      <c r="F235" s="32" t="s">
        <v>936</v>
      </c>
      <c r="G235" s="37" t="s">
        <v>190</v>
      </c>
      <c r="H235" s="33">
        <v>46092.0</v>
      </c>
      <c r="I235" s="30">
        <v>1342538.0</v>
      </c>
      <c r="J235" s="30" t="s">
        <v>201</v>
      </c>
      <c r="K235" s="34" t="s">
        <v>291</v>
      </c>
      <c r="L235" s="30" t="s">
        <v>195</v>
      </c>
      <c r="M235" s="30">
        <v>3.0</v>
      </c>
      <c r="N235" s="30" t="s">
        <v>193</v>
      </c>
      <c r="O235" s="30" t="s">
        <v>194</v>
      </c>
      <c r="P235" s="30">
        <v>160.0</v>
      </c>
      <c r="Q235" s="30" t="s">
        <v>221</v>
      </c>
      <c r="R235" s="30" t="s">
        <v>222</v>
      </c>
      <c r="S235" s="30" t="s">
        <v>197</v>
      </c>
      <c r="T235" s="30" t="s">
        <v>937</v>
      </c>
      <c r="U235" s="30">
        <v>1.9745231E7</v>
      </c>
    </row>
    <row r="236">
      <c r="A236" s="34">
        <v>51.480349</v>
      </c>
      <c r="B236" s="30">
        <v>25.444327</v>
      </c>
      <c r="C236" s="30" t="str">
        <f t="shared" si="1"/>
        <v>51.480349 25.444327</v>
      </c>
      <c r="D236" s="30">
        <v>70.0</v>
      </c>
      <c r="E236" s="36" t="s">
        <v>938</v>
      </c>
      <c r="F236" s="32" t="s">
        <v>939</v>
      </c>
      <c r="G236" s="37" t="s">
        <v>190</v>
      </c>
      <c r="H236" s="33">
        <v>46092.0</v>
      </c>
      <c r="I236" s="30">
        <v>1348460.0</v>
      </c>
      <c r="J236" s="30" t="s">
        <v>201</v>
      </c>
      <c r="K236" s="34" t="s">
        <v>291</v>
      </c>
      <c r="L236" s="30" t="s">
        <v>195</v>
      </c>
      <c r="M236" s="30">
        <v>3.0</v>
      </c>
      <c r="N236" s="30" t="s">
        <v>193</v>
      </c>
      <c r="O236" s="30" t="s">
        <v>194</v>
      </c>
      <c r="P236" s="30">
        <v>160.0</v>
      </c>
      <c r="Q236" s="30" t="s">
        <v>221</v>
      </c>
      <c r="R236" s="30" t="s">
        <v>222</v>
      </c>
      <c r="S236" s="30" t="s">
        <v>197</v>
      </c>
      <c r="T236" s="30" t="s">
        <v>940</v>
      </c>
      <c r="U236" s="30">
        <v>1.9745232E7</v>
      </c>
    </row>
    <row r="237">
      <c r="A237" s="71">
        <v>51.132734</v>
      </c>
      <c r="B237" s="71">
        <v>25.570506</v>
      </c>
      <c r="C237" s="30" t="str">
        <f t="shared" si="1"/>
        <v>51.132734 25.570506</v>
      </c>
      <c r="D237" s="71">
        <v>72.0</v>
      </c>
      <c r="E237" s="72" t="s">
        <v>941</v>
      </c>
      <c r="F237" s="73" t="s">
        <v>942</v>
      </c>
      <c r="G237" s="30" t="s">
        <v>190</v>
      </c>
      <c r="H237" s="74">
        <v>46104.0</v>
      </c>
      <c r="I237" s="71">
        <v>1266001.0</v>
      </c>
      <c r="J237" s="30" t="s">
        <v>943</v>
      </c>
      <c r="K237" s="34" t="s">
        <v>192</v>
      </c>
      <c r="L237" s="35"/>
      <c r="M237" s="30">
        <v>3.0</v>
      </c>
      <c r="N237" s="71" t="s">
        <v>193</v>
      </c>
      <c r="O237" s="71" t="s">
        <v>194</v>
      </c>
      <c r="P237" s="71">
        <v>160.0</v>
      </c>
      <c r="Q237" s="71" t="s">
        <v>221</v>
      </c>
      <c r="R237" s="71" t="s">
        <v>222</v>
      </c>
      <c r="S237" s="71" t="s">
        <v>197</v>
      </c>
      <c r="T237" s="71" t="s">
        <v>944</v>
      </c>
      <c r="U237" s="71">
        <v>1.5717753E7</v>
      </c>
    </row>
    <row r="238">
      <c r="A238" s="71">
        <v>51.139608</v>
      </c>
      <c r="B238" s="71">
        <v>25.563975</v>
      </c>
      <c r="C238" s="30" t="str">
        <f t="shared" si="1"/>
        <v>51.139608 25.563975</v>
      </c>
      <c r="D238" s="71">
        <v>72.0</v>
      </c>
      <c r="E238" s="72" t="s">
        <v>945</v>
      </c>
      <c r="F238" s="73" t="s">
        <v>946</v>
      </c>
      <c r="G238" s="30" t="s">
        <v>190</v>
      </c>
      <c r="H238" s="74">
        <v>46104.0</v>
      </c>
      <c r="I238" s="71">
        <v>1265995.0</v>
      </c>
      <c r="J238" s="30" t="s">
        <v>947</v>
      </c>
      <c r="K238" s="34" t="s">
        <v>192</v>
      </c>
      <c r="L238" s="35"/>
      <c r="M238" s="30">
        <v>3.0</v>
      </c>
      <c r="N238" s="71" t="s">
        <v>193</v>
      </c>
      <c r="O238" s="71" t="s">
        <v>194</v>
      </c>
      <c r="P238" s="71">
        <v>160.0</v>
      </c>
      <c r="Q238" s="71" t="s">
        <v>221</v>
      </c>
      <c r="R238" s="71" t="s">
        <v>222</v>
      </c>
      <c r="S238" s="71" t="s">
        <v>197</v>
      </c>
      <c r="T238" s="71" t="s">
        <v>948</v>
      </c>
      <c r="U238" s="71">
        <v>1.5717678E7</v>
      </c>
    </row>
    <row r="239">
      <c r="A239" s="30">
        <v>51.139625</v>
      </c>
      <c r="B239" s="30">
        <v>25.563959</v>
      </c>
      <c r="C239" s="30" t="str">
        <f t="shared" si="1"/>
        <v>51.139625 25.563959</v>
      </c>
      <c r="D239" s="30">
        <v>72.0</v>
      </c>
      <c r="E239" s="36" t="s">
        <v>949</v>
      </c>
      <c r="F239" s="32" t="s">
        <v>950</v>
      </c>
      <c r="G239" s="30" t="s">
        <v>190</v>
      </c>
      <c r="H239" s="33">
        <v>46094.0</v>
      </c>
      <c r="I239" s="30">
        <v>1265996.0</v>
      </c>
      <c r="J239" s="30" t="s">
        <v>951</v>
      </c>
      <c r="K239" s="37" t="s">
        <v>202</v>
      </c>
      <c r="L239" s="30" t="s">
        <v>742</v>
      </c>
      <c r="M239" s="30">
        <v>3.0</v>
      </c>
      <c r="N239" s="30" t="s">
        <v>216</v>
      </c>
      <c r="O239" s="30" t="s">
        <v>194</v>
      </c>
      <c r="P239" s="30">
        <v>160.0</v>
      </c>
      <c r="Q239" s="30" t="s">
        <v>195</v>
      </c>
      <c r="R239" s="30" t="s">
        <v>222</v>
      </c>
      <c r="S239" s="30" t="s">
        <v>197</v>
      </c>
      <c r="T239" s="30" t="s">
        <v>952</v>
      </c>
      <c r="U239" s="30">
        <v>1.5717679E7</v>
      </c>
    </row>
    <row r="240">
      <c r="A240" s="71">
        <v>51.146632</v>
      </c>
      <c r="B240" s="71">
        <v>25.557618</v>
      </c>
      <c r="C240" s="30" t="str">
        <f t="shared" si="1"/>
        <v>51.146632 25.557618</v>
      </c>
      <c r="D240" s="71">
        <v>72.0</v>
      </c>
      <c r="E240" s="72" t="s">
        <v>953</v>
      </c>
      <c r="F240" s="73" t="s">
        <v>954</v>
      </c>
      <c r="G240" s="30" t="s">
        <v>190</v>
      </c>
      <c r="H240" s="74">
        <v>46104.0</v>
      </c>
      <c r="I240" s="73">
        <v>1265995.0</v>
      </c>
      <c r="J240" s="30" t="s">
        <v>955</v>
      </c>
      <c r="K240" s="34" t="s">
        <v>192</v>
      </c>
      <c r="L240" s="35"/>
      <c r="M240" s="30">
        <v>3.0</v>
      </c>
      <c r="N240" s="71" t="s">
        <v>193</v>
      </c>
      <c r="O240" s="71" t="s">
        <v>194</v>
      </c>
      <c r="P240" s="71">
        <v>160.0</v>
      </c>
      <c r="Q240" s="71" t="s">
        <v>221</v>
      </c>
      <c r="R240" s="71" t="s">
        <v>222</v>
      </c>
      <c r="S240" s="71" t="s">
        <v>197</v>
      </c>
      <c r="T240" s="71" t="s">
        <v>956</v>
      </c>
      <c r="U240" s="71">
        <v>1.5717704E7</v>
      </c>
    </row>
    <row r="241">
      <c r="A241" s="30">
        <v>51.146654</v>
      </c>
      <c r="B241" s="30">
        <v>25.557611</v>
      </c>
      <c r="C241" s="30" t="str">
        <f t="shared" si="1"/>
        <v>51.146654 25.557611</v>
      </c>
      <c r="D241" s="30">
        <v>72.0</v>
      </c>
      <c r="E241" s="36" t="s">
        <v>957</v>
      </c>
      <c r="F241" s="32" t="s">
        <v>958</v>
      </c>
      <c r="G241" s="30" t="s">
        <v>190</v>
      </c>
      <c r="H241" s="33">
        <v>46094.0</v>
      </c>
      <c r="I241" s="30">
        <v>1265995.0</v>
      </c>
      <c r="J241" s="30" t="s">
        <v>959</v>
      </c>
      <c r="K241" s="37" t="s">
        <v>202</v>
      </c>
      <c r="L241" s="30" t="s">
        <v>742</v>
      </c>
      <c r="M241" s="30">
        <v>3.0</v>
      </c>
      <c r="N241" s="30" t="s">
        <v>216</v>
      </c>
      <c r="O241" s="30" t="s">
        <v>194</v>
      </c>
      <c r="P241" s="30">
        <v>160.0</v>
      </c>
      <c r="Q241" s="30" t="s">
        <v>195</v>
      </c>
      <c r="R241" s="30" t="s">
        <v>222</v>
      </c>
      <c r="S241" s="30" t="s">
        <v>197</v>
      </c>
      <c r="T241" s="30" t="s">
        <v>960</v>
      </c>
      <c r="U241" s="30">
        <v>1.5717727E7</v>
      </c>
    </row>
    <row r="242">
      <c r="A242" s="71">
        <v>51.155615</v>
      </c>
      <c r="B242" s="71">
        <v>25.552037</v>
      </c>
      <c r="C242" s="30" t="str">
        <f t="shared" si="1"/>
        <v>51.155615 25.552037</v>
      </c>
      <c r="D242" s="71">
        <v>72.0</v>
      </c>
      <c r="E242" s="72" t="s">
        <v>961</v>
      </c>
      <c r="F242" s="73" t="s">
        <v>962</v>
      </c>
      <c r="G242" s="30" t="s">
        <v>190</v>
      </c>
      <c r="H242" s="74">
        <v>46104.0</v>
      </c>
      <c r="I242" s="71">
        <v>1265994.0</v>
      </c>
      <c r="J242" s="30" t="s">
        <v>963</v>
      </c>
      <c r="K242" s="34" t="s">
        <v>192</v>
      </c>
      <c r="L242" s="35"/>
      <c r="M242" s="30">
        <v>3.0</v>
      </c>
      <c r="N242" s="71" t="s">
        <v>193</v>
      </c>
      <c r="O242" s="71" t="s">
        <v>194</v>
      </c>
      <c r="P242" s="71">
        <v>160.0</v>
      </c>
      <c r="Q242" s="71" t="s">
        <v>221</v>
      </c>
      <c r="R242" s="71" t="s">
        <v>222</v>
      </c>
      <c r="S242" s="71" t="s">
        <v>197</v>
      </c>
      <c r="T242" s="71" t="s">
        <v>964</v>
      </c>
      <c r="U242" s="71">
        <v>1.571768E7</v>
      </c>
    </row>
    <row r="243">
      <c r="A243" s="30">
        <v>51.155636</v>
      </c>
      <c r="B243" s="30">
        <v>25.552026</v>
      </c>
      <c r="C243" s="30" t="str">
        <f t="shared" si="1"/>
        <v>51.155636 25.552026</v>
      </c>
      <c r="D243" s="30">
        <v>72.0</v>
      </c>
      <c r="E243" s="36" t="s">
        <v>965</v>
      </c>
      <c r="F243" s="32" t="s">
        <v>966</v>
      </c>
      <c r="G243" s="30" t="s">
        <v>190</v>
      </c>
      <c r="H243" s="33">
        <v>46094.0</v>
      </c>
      <c r="I243" s="30">
        <v>1265994.0</v>
      </c>
      <c r="J243" s="30" t="s">
        <v>967</v>
      </c>
      <c r="K243" s="37" t="s">
        <v>202</v>
      </c>
      <c r="L243" s="30" t="s">
        <v>742</v>
      </c>
      <c r="M243" s="30">
        <v>3.0</v>
      </c>
      <c r="N243" s="30" t="s">
        <v>216</v>
      </c>
      <c r="O243" s="30" t="s">
        <v>194</v>
      </c>
      <c r="P243" s="30">
        <v>160.0</v>
      </c>
      <c r="Q243" s="30" t="s">
        <v>195</v>
      </c>
      <c r="R243" s="30" t="s">
        <v>222</v>
      </c>
      <c r="S243" s="30" t="s">
        <v>197</v>
      </c>
      <c r="T243" s="30" t="s">
        <v>968</v>
      </c>
      <c r="U243" s="30">
        <v>1.5717637E7</v>
      </c>
    </row>
    <row r="244">
      <c r="A244" s="30">
        <v>51.163415</v>
      </c>
      <c r="B244" s="30">
        <v>25.54777</v>
      </c>
      <c r="C244" s="30" t="str">
        <f t="shared" si="1"/>
        <v>51.163415 25.54777</v>
      </c>
      <c r="D244" s="30">
        <v>72.0</v>
      </c>
      <c r="E244" s="36" t="s">
        <v>444</v>
      </c>
      <c r="F244" s="32" t="s">
        <v>969</v>
      </c>
      <c r="G244" s="30" t="s">
        <v>190</v>
      </c>
      <c r="H244" s="33">
        <v>46099.0</v>
      </c>
      <c r="I244" s="30">
        <v>1265993.0</v>
      </c>
      <c r="J244" s="30" t="s">
        <v>970</v>
      </c>
      <c r="K244" s="34" t="s">
        <v>291</v>
      </c>
      <c r="L244" s="35"/>
      <c r="M244" s="30">
        <v>3.0</v>
      </c>
      <c r="N244" s="30" t="s">
        <v>193</v>
      </c>
      <c r="O244" s="30" t="s">
        <v>194</v>
      </c>
      <c r="P244" s="30">
        <v>160.0</v>
      </c>
      <c r="Q244" s="30" t="s">
        <v>221</v>
      </c>
      <c r="R244" s="30" t="s">
        <v>222</v>
      </c>
      <c r="S244" s="30" t="s">
        <v>197</v>
      </c>
      <c r="T244" s="30" t="s">
        <v>971</v>
      </c>
      <c r="U244" s="30">
        <v>1.5717705E7</v>
      </c>
    </row>
    <row r="245">
      <c r="A245" s="30">
        <v>51.163405</v>
      </c>
      <c r="B245" s="30">
        <v>25.54779</v>
      </c>
      <c r="C245" s="30" t="str">
        <f t="shared" si="1"/>
        <v>51.163405 25.54779</v>
      </c>
      <c r="D245" s="30">
        <v>72.0</v>
      </c>
      <c r="E245" s="36" t="s">
        <v>972</v>
      </c>
      <c r="F245" s="32" t="s">
        <v>973</v>
      </c>
      <c r="G245" s="30" t="s">
        <v>190</v>
      </c>
      <c r="H245" s="33">
        <v>46094.0</v>
      </c>
      <c r="I245" s="30">
        <v>1265993.0</v>
      </c>
      <c r="J245" s="30" t="s">
        <v>974</v>
      </c>
      <c r="K245" s="37" t="s">
        <v>202</v>
      </c>
      <c r="L245" s="30" t="s">
        <v>975</v>
      </c>
      <c r="M245" s="30">
        <v>4.0</v>
      </c>
      <c r="N245" s="30" t="s">
        <v>216</v>
      </c>
      <c r="O245" s="30" t="s">
        <v>194</v>
      </c>
      <c r="P245" s="30">
        <v>160.0</v>
      </c>
      <c r="Q245" s="30" t="s">
        <v>195</v>
      </c>
      <c r="R245" s="30" t="s">
        <v>222</v>
      </c>
      <c r="S245" s="30" t="s">
        <v>197</v>
      </c>
      <c r="T245" s="30" t="s">
        <v>976</v>
      </c>
      <c r="U245" s="30">
        <v>1.5717638E7</v>
      </c>
    </row>
    <row r="246">
      <c r="A246" s="30">
        <v>51.172031</v>
      </c>
      <c r="B246" s="30">
        <v>25.543085</v>
      </c>
      <c r="C246" s="30" t="str">
        <f t="shared" si="1"/>
        <v>51.172031 25.543085</v>
      </c>
      <c r="D246" s="30">
        <v>72.0</v>
      </c>
      <c r="E246" s="36" t="s">
        <v>679</v>
      </c>
      <c r="F246" s="32" t="s">
        <v>977</v>
      </c>
      <c r="G246" s="30" t="s">
        <v>190</v>
      </c>
      <c r="H246" s="33">
        <v>46099.0</v>
      </c>
      <c r="I246" s="30">
        <v>1265992.0</v>
      </c>
      <c r="J246" s="30" t="s">
        <v>978</v>
      </c>
      <c r="K246" s="34" t="s">
        <v>291</v>
      </c>
      <c r="L246" s="35"/>
      <c r="M246" s="30">
        <v>3.0</v>
      </c>
      <c r="N246" s="30" t="s">
        <v>193</v>
      </c>
      <c r="O246" s="30" t="s">
        <v>194</v>
      </c>
      <c r="P246" s="30">
        <v>160.0</v>
      </c>
      <c r="Q246" s="30" t="s">
        <v>221</v>
      </c>
      <c r="R246" s="30" t="s">
        <v>222</v>
      </c>
      <c r="S246" s="30" t="s">
        <v>197</v>
      </c>
      <c r="T246" s="30" t="s">
        <v>979</v>
      </c>
      <c r="U246" s="30">
        <v>1.5717754E7</v>
      </c>
    </row>
    <row r="247">
      <c r="A247" s="34">
        <v>51.480455</v>
      </c>
      <c r="B247" s="34">
        <v>25.449043</v>
      </c>
      <c r="C247" s="30" t="str">
        <f t="shared" si="1"/>
        <v>51.480455 25.449043</v>
      </c>
      <c r="D247" s="34">
        <v>69.0</v>
      </c>
      <c r="E247" s="53" t="s">
        <v>980</v>
      </c>
      <c r="F247" s="34" t="s">
        <v>981</v>
      </c>
      <c r="G247" s="34" t="s">
        <v>190</v>
      </c>
      <c r="H247" s="55">
        <v>46097.0</v>
      </c>
      <c r="I247" s="34">
        <v>1348459.0</v>
      </c>
      <c r="J247" s="34" t="s">
        <v>982</v>
      </c>
      <c r="K247" s="34" t="s">
        <v>291</v>
      </c>
      <c r="L247" s="76"/>
      <c r="M247" s="34">
        <v>3.0</v>
      </c>
      <c r="N247" s="34" t="s">
        <v>465</v>
      </c>
      <c r="O247" s="30" t="s">
        <v>194</v>
      </c>
      <c r="P247" s="30">
        <v>160.0</v>
      </c>
      <c r="Q247" s="30" t="s">
        <v>221</v>
      </c>
      <c r="R247" s="30" t="s">
        <v>222</v>
      </c>
      <c r="S247" s="30" t="s">
        <v>197</v>
      </c>
      <c r="T247" s="34" t="s">
        <v>983</v>
      </c>
      <c r="U247" s="34">
        <v>1.9745233E7</v>
      </c>
    </row>
    <row r="248">
      <c r="A248" s="30">
        <v>51.474923</v>
      </c>
      <c r="B248" s="30">
        <v>25.45629</v>
      </c>
      <c r="C248" s="30" t="str">
        <f t="shared" si="1"/>
        <v>51.474923 25.45629</v>
      </c>
      <c r="D248" s="30">
        <v>70.0</v>
      </c>
      <c r="E248" s="36" t="s">
        <v>984</v>
      </c>
      <c r="F248" s="32" t="s">
        <v>908</v>
      </c>
      <c r="G248" s="37" t="s">
        <v>190</v>
      </c>
      <c r="H248" s="33">
        <v>46092.0</v>
      </c>
      <c r="I248" s="30">
        <v>1336947.0</v>
      </c>
      <c r="J248" s="30" t="s">
        <v>201</v>
      </c>
      <c r="K248" s="34" t="s">
        <v>291</v>
      </c>
      <c r="L248" s="30" t="s">
        <v>195</v>
      </c>
      <c r="M248" s="30">
        <v>3.0</v>
      </c>
      <c r="N248" s="30" t="s">
        <v>193</v>
      </c>
      <c r="O248" s="30" t="s">
        <v>194</v>
      </c>
      <c r="P248" s="30">
        <v>160.0</v>
      </c>
      <c r="Q248" s="30" t="s">
        <v>221</v>
      </c>
      <c r="R248" s="30" t="s">
        <v>222</v>
      </c>
      <c r="S248" s="30" t="s">
        <v>197</v>
      </c>
      <c r="T248" s="30" t="s">
        <v>985</v>
      </c>
      <c r="U248" s="30">
        <v>1.9745234E7</v>
      </c>
    </row>
    <row r="249">
      <c r="A249" s="34">
        <v>51.478589</v>
      </c>
      <c r="B249" s="34">
        <v>25.457454</v>
      </c>
      <c r="C249" s="30" t="str">
        <f t="shared" si="1"/>
        <v>51.478589 25.457454</v>
      </c>
      <c r="D249" s="34">
        <v>69.0</v>
      </c>
      <c r="E249" s="53" t="s">
        <v>986</v>
      </c>
      <c r="F249" s="54" t="s">
        <v>987</v>
      </c>
      <c r="G249" s="34" t="s">
        <v>190</v>
      </c>
      <c r="H249" s="55">
        <v>46097.0</v>
      </c>
      <c r="I249" s="34">
        <v>1348457.0</v>
      </c>
      <c r="J249" s="34" t="s">
        <v>988</v>
      </c>
      <c r="K249" s="34" t="s">
        <v>291</v>
      </c>
      <c r="L249" s="34" t="s">
        <v>195</v>
      </c>
      <c r="M249" s="34">
        <v>3.0</v>
      </c>
      <c r="N249" s="34" t="s">
        <v>465</v>
      </c>
      <c r="O249" s="30" t="s">
        <v>194</v>
      </c>
      <c r="P249" s="30">
        <v>160.0</v>
      </c>
      <c r="Q249" s="30" t="s">
        <v>221</v>
      </c>
      <c r="R249" s="30" t="s">
        <v>222</v>
      </c>
      <c r="S249" s="30" t="s">
        <v>197</v>
      </c>
      <c r="T249" s="34" t="s">
        <v>989</v>
      </c>
      <c r="U249" s="34">
        <v>1.9745235E7</v>
      </c>
    </row>
    <row r="250">
      <c r="A250" s="30">
        <v>51.483999</v>
      </c>
      <c r="B250" s="30">
        <v>25.457144</v>
      </c>
      <c r="C250" s="30" t="str">
        <f t="shared" si="1"/>
        <v>51.483999 25.457144</v>
      </c>
      <c r="D250" s="30">
        <v>69.0</v>
      </c>
      <c r="E250" s="36" t="s">
        <v>990</v>
      </c>
      <c r="F250" s="32" t="s">
        <v>991</v>
      </c>
      <c r="G250" s="30" t="s">
        <v>190</v>
      </c>
      <c r="H250" s="33">
        <v>46091.0</v>
      </c>
      <c r="I250" s="30">
        <v>1368786.0</v>
      </c>
      <c r="J250" s="30" t="s">
        <v>201</v>
      </c>
      <c r="K250" s="37" t="s">
        <v>202</v>
      </c>
      <c r="L250" s="30" t="s">
        <v>195</v>
      </c>
      <c r="M250" s="30">
        <v>3.0</v>
      </c>
      <c r="N250" s="30" t="s">
        <v>193</v>
      </c>
      <c r="O250" s="30" t="s">
        <v>194</v>
      </c>
      <c r="P250" s="30">
        <v>160.0</v>
      </c>
      <c r="Q250" s="30" t="s">
        <v>221</v>
      </c>
      <c r="R250" s="30" t="s">
        <v>222</v>
      </c>
      <c r="S250" s="30" t="s">
        <v>197</v>
      </c>
      <c r="T250" s="30" t="s">
        <v>992</v>
      </c>
      <c r="U250" s="30">
        <v>1.9745236E7</v>
      </c>
    </row>
    <row r="251">
      <c r="A251" s="30">
        <v>51.475537</v>
      </c>
      <c r="B251" s="30">
        <v>25.464475</v>
      </c>
      <c r="C251" s="30" t="str">
        <f t="shared" si="1"/>
        <v>51.475537 25.464475</v>
      </c>
      <c r="D251" s="30">
        <v>70.0</v>
      </c>
      <c r="E251" s="36" t="s">
        <v>993</v>
      </c>
      <c r="F251" s="32" t="s">
        <v>994</v>
      </c>
      <c r="G251" s="30" t="s">
        <v>190</v>
      </c>
      <c r="H251" s="33">
        <v>46091.0</v>
      </c>
      <c r="I251" s="30">
        <v>1363784.0</v>
      </c>
      <c r="J251" s="30" t="s">
        <v>201</v>
      </c>
      <c r="K251" s="37" t="s">
        <v>202</v>
      </c>
      <c r="L251" s="30" t="s">
        <v>195</v>
      </c>
      <c r="M251" s="30">
        <v>3.0</v>
      </c>
      <c r="N251" s="30" t="s">
        <v>193</v>
      </c>
      <c r="O251" s="30" t="s">
        <v>194</v>
      </c>
      <c r="P251" s="30">
        <v>160.0</v>
      </c>
      <c r="Q251" s="30" t="s">
        <v>221</v>
      </c>
      <c r="R251" s="30" t="s">
        <v>196</v>
      </c>
      <c r="S251" s="30" t="s">
        <v>197</v>
      </c>
      <c r="T251" s="30" t="s">
        <v>995</v>
      </c>
      <c r="U251" s="30">
        <v>1.9745237E7</v>
      </c>
    </row>
    <row r="252">
      <c r="A252" s="30">
        <v>51.477644</v>
      </c>
      <c r="B252" s="30">
        <v>25.463505</v>
      </c>
      <c r="C252" s="30" t="str">
        <f t="shared" si="1"/>
        <v>51.477644 25.463505</v>
      </c>
      <c r="D252" s="30">
        <v>69.0</v>
      </c>
      <c r="E252" s="36" t="s">
        <v>996</v>
      </c>
      <c r="F252" s="32" t="s">
        <v>997</v>
      </c>
      <c r="G252" s="30" t="s">
        <v>190</v>
      </c>
      <c r="H252" s="33">
        <v>46091.0</v>
      </c>
      <c r="I252" s="30">
        <v>1348455.0</v>
      </c>
      <c r="J252" s="30" t="s">
        <v>201</v>
      </c>
      <c r="K252" s="37" t="s">
        <v>202</v>
      </c>
      <c r="L252" s="30" t="s">
        <v>195</v>
      </c>
      <c r="M252" s="30">
        <v>3.0</v>
      </c>
      <c r="N252" s="30" t="s">
        <v>193</v>
      </c>
      <c r="O252" s="30" t="s">
        <v>194</v>
      </c>
      <c r="P252" s="30">
        <v>160.0</v>
      </c>
      <c r="Q252" s="30" t="s">
        <v>221</v>
      </c>
      <c r="R252" s="30" t="s">
        <v>196</v>
      </c>
      <c r="S252" s="30" t="s">
        <v>197</v>
      </c>
      <c r="T252" s="30" t="s">
        <v>998</v>
      </c>
      <c r="U252" s="30">
        <v>1.9745238E7</v>
      </c>
    </row>
    <row r="253">
      <c r="A253" s="30">
        <v>51.472555</v>
      </c>
      <c r="B253" s="30">
        <v>25.473054</v>
      </c>
      <c r="C253" s="30" t="str">
        <f t="shared" si="1"/>
        <v>51.472555 25.473054</v>
      </c>
      <c r="D253" s="30">
        <v>70.0</v>
      </c>
      <c r="E253" s="36" t="s">
        <v>999</v>
      </c>
      <c r="F253" s="32" t="s">
        <v>1000</v>
      </c>
      <c r="G253" s="30" t="s">
        <v>190</v>
      </c>
      <c r="H253" s="33">
        <v>46091.0</v>
      </c>
      <c r="I253" s="30">
        <v>1348453.0</v>
      </c>
      <c r="J253" s="30" t="s">
        <v>201</v>
      </c>
      <c r="K253" s="37" t="s">
        <v>202</v>
      </c>
      <c r="L253" s="30" t="s">
        <v>195</v>
      </c>
      <c r="M253" s="30">
        <v>3.0</v>
      </c>
      <c r="N253" s="30" t="s">
        <v>193</v>
      </c>
      <c r="O253" s="30" t="s">
        <v>194</v>
      </c>
      <c r="P253" s="30">
        <v>160.0</v>
      </c>
      <c r="Q253" s="30" t="s">
        <v>221</v>
      </c>
      <c r="R253" s="30" t="s">
        <v>222</v>
      </c>
      <c r="S253" s="30" t="s">
        <v>197</v>
      </c>
      <c r="T253" s="30" t="s">
        <v>1001</v>
      </c>
      <c r="U253" s="30">
        <v>1.9745239E7</v>
      </c>
    </row>
    <row r="254">
      <c r="A254" s="30">
        <v>51.472425</v>
      </c>
      <c r="B254" s="30">
        <v>25.477576</v>
      </c>
      <c r="C254" s="30" t="str">
        <f t="shared" si="1"/>
        <v>51.472425 25.477576</v>
      </c>
      <c r="D254" s="30">
        <v>70.0</v>
      </c>
      <c r="E254" s="36" t="s">
        <v>1002</v>
      </c>
      <c r="F254" s="32" t="s">
        <v>1003</v>
      </c>
      <c r="G254" s="30" t="s">
        <v>190</v>
      </c>
      <c r="H254" s="33">
        <v>46091.0</v>
      </c>
      <c r="I254" s="30">
        <v>1348452.0</v>
      </c>
      <c r="J254" s="30" t="s">
        <v>201</v>
      </c>
      <c r="K254" s="37" t="s">
        <v>202</v>
      </c>
      <c r="L254" s="30" t="s">
        <v>195</v>
      </c>
      <c r="M254" s="30">
        <v>3.0</v>
      </c>
      <c r="N254" s="30" t="s">
        <v>193</v>
      </c>
      <c r="O254" s="30" t="s">
        <v>194</v>
      </c>
      <c r="P254" s="30">
        <v>160.0</v>
      </c>
      <c r="Q254" s="30" t="s">
        <v>221</v>
      </c>
      <c r="R254" s="30" t="s">
        <v>222</v>
      </c>
      <c r="S254" s="30" t="s">
        <v>197</v>
      </c>
      <c r="T254" s="30" t="s">
        <v>1004</v>
      </c>
      <c r="U254" s="30">
        <v>1.974524E7</v>
      </c>
    </row>
    <row r="255">
      <c r="A255" s="30">
        <v>51.187235</v>
      </c>
      <c r="B255" s="30">
        <v>25.531943</v>
      </c>
      <c r="C255" s="30" t="str">
        <f t="shared" si="1"/>
        <v>51.187235 25.531943</v>
      </c>
      <c r="D255" s="30">
        <v>72.0</v>
      </c>
      <c r="E255" s="36" t="s">
        <v>289</v>
      </c>
      <c r="F255" s="32" t="s">
        <v>1005</v>
      </c>
      <c r="G255" s="30" t="s">
        <v>190</v>
      </c>
      <c r="H255" s="33">
        <v>46093.0</v>
      </c>
      <c r="I255" s="30">
        <v>1265990.0</v>
      </c>
      <c r="J255" s="30" t="s">
        <v>1006</v>
      </c>
      <c r="K255" s="37" t="s">
        <v>202</v>
      </c>
      <c r="L255" s="30" t="s">
        <v>742</v>
      </c>
      <c r="M255" s="30">
        <v>3.0</v>
      </c>
      <c r="N255" s="30" t="s">
        <v>216</v>
      </c>
      <c r="O255" s="30" t="s">
        <v>194</v>
      </c>
      <c r="P255" s="30">
        <v>160.0</v>
      </c>
      <c r="Q255" s="30" t="s">
        <v>195</v>
      </c>
      <c r="R255" s="30" t="s">
        <v>222</v>
      </c>
      <c r="S255" s="30" t="s">
        <v>197</v>
      </c>
      <c r="T255" s="30" t="s">
        <v>1007</v>
      </c>
      <c r="U255" s="30">
        <v>1.5717728E7</v>
      </c>
    </row>
    <row r="256">
      <c r="A256" s="30">
        <v>51.172052</v>
      </c>
      <c r="B256" s="30">
        <v>25.543073</v>
      </c>
      <c r="C256" s="30" t="str">
        <f t="shared" si="1"/>
        <v>51.172052 25.543073</v>
      </c>
      <c r="D256" s="30">
        <v>72.0</v>
      </c>
      <c r="E256" s="36" t="s">
        <v>679</v>
      </c>
      <c r="F256" s="32" t="s">
        <v>1008</v>
      </c>
      <c r="G256" s="30" t="s">
        <v>190</v>
      </c>
      <c r="H256" s="33">
        <v>46093.0</v>
      </c>
      <c r="I256" s="30">
        <v>1265992.0</v>
      </c>
      <c r="J256" s="30" t="s">
        <v>1009</v>
      </c>
      <c r="K256" s="37" t="s">
        <v>202</v>
      </c>
      <c r="L256" s="30" t="s">
        <v>742</v>
      </c>
      <c r="M256" s="30">
        <v>3.0</v>
      </c>
      <c r="N256" s="30" t="s">
        <v>216</v>
      </c>
      <c r="O256" s="30" t="s">
        <v>194</v>
      </c>
      <c r="P256" s="30">
        <v>160.0</v>
      </c>
      <c r="Q256" s="30" t="s">
        <v>195</v>
      </c>
      <c r="R256" s="30" t="s">
        <v>222</v>
      </c>
      <c r="S256" s="30" t="s">
        <v>197</v>
      </c>
      <c r="T256" s="30" t="s">
        <v>1010</v>
      </c>
      <c r="U256" s="30">
        <v>1.5717755E7</v>
      </c>
    </row>
    <row r="257">
      <c r="A257" s="30">
        <v>51.180288</v>
      </c>
      <c r="B257" s="30">
        <v>25.5383</v>
      </c>
      <c r="C257" s="30" t="str">
        <f t="shared" si="1"/>
        <v>51.180288 25.5383</v>
      </c>
      <c r="D257" s="30">
        <v>72.0</v>
      </c>
      <c r="E257" s="36" t="s">
        <v>509</v>
      </c>
      <c r="F257" s="32" t="s">
        <v>1011</v>
      </c>
      <c r="G257" s="30" t="s">
        <v>190</v>
      </c>
      <c r="H257" s="33">
        <v>46093.0</v>
      </c>
      <c r="I257" s="30">
        <v>1265991.0</v>
      </c>
      <c r="J257" s="30" t="s">
        <v>1006</v>
      </c>
      <c r="K257" s="37" t="s">
        <v>202</v>
      </c>
      <c r="L257" s="30" t="s">
        <v>742</v>
      </c>
      <c r="M257" s="30">
        <v>3.0</v>
      </c>
      <c r="N257" s="30" t="s">
        <v>216</v>
      </c>
      <c r="O257" s="30" t="s">
        <v>194</v>
      </c>
      <c r="P257" s="30">
        <v>160.0</v>
      </c>
      <c r="Q257" s="30" t="s">
        <v>221</v>
      </c>
      <c r="R257" s="30" t="s">
        <v>222</v>
      </c>
      <c r="S257" s="30" t="s">
        <v>197</v>
      </c>
      <c r="T257" s="30" t="s">
        <v>1012</v>
      </c>
      <c r="U257" s="30">
        <v>1.5717776E7</v>
      </c>
    </row>
    <row r="258">
      <c r="A258" s="30">
        <v>51.180268</v>
      </c>
      <c r="B258" s="30">
        <v>25.538314</v>
      </c>
      <c r="C258" s="30" t="str">
        <f t="shared" si="1"/>
        <v>51.180268 25.538314</v>
      </c>
      <c r="D258" s="30">
        <v>72.0</v>
      </c>
      <c r="E258" s="36" t="s">
        <v>1013</v>
      </c>
      <c r="F258" s="32" t="s">
        <v>1014</v>
      </c>
      <c r="G258" s="30" t="s">
        <v>190</v>
      </c>
      <c r="H258" s="33">
        <v>46104.0</v>
      </c>
      <c r="I258" s="30">
        <v>1265991.0</v>
      </c>
      <c r="J258" s="30" t="s">
        <v>1015</v>
      </c>
      <c r="K258" s="34" t="s">
        <v>192</v>
      </c>
      <c r="L258" s="35"/>
      <c r="M258" s="30">
        <v>3.0</v>
      </c>
      <c r="N258" s="30" t="s">
        <v>193</v>
      </c>
      <c r="O258" s="30" t="s">
        <v>194</v>
      </c>
      <c r="P258" s="30">
        <v>160.0</v>
      </c>
      <c r="Q258" s="30" t="s">
        <v>221</v>
      </c>
      <c r="R258" s="71" t="s">
        <v>222</v>
      </c>
      <c r="S258" s="30" t="s">
        <v>197</v>
      </c>
      <c r="T258" s="30" t="s">
        <v>1016</v>
      </c>
      <c r="U258" s="30">
        <v>1.5717777E7</v>
      </c>
    </row>
    <row r="259">
      <c r="A259" s="71">
        <v>51.187219</v>
      </c>
      <c r="B259" s="71">
        <v>25.53196</v>
      </c>
      <c r="C259" s="30" t="str">
        <f t="shared" si="1"/>
        <v>51.187219 25.53196</v>
      </c>
      <c r="D259" s="71">
        <v>72.0</v>
      </c>
      <c r="E259" s="72" t="s">
        <v>1017</v>
      </c>
      <c r="F259" s="73" t="s">
        <v>1018</v>
      </c>
      <c r="G259" s="30" t="s">
        <v>190</v>
      </c>
      <c r="H259" s="74">
        <v>46104.0</v>
      </c>
      <c r="I259" s="71">
        <v>1265990.0</v>
      </c>
      <c r="J259" s="30" t="s">
        <v>1019</v>
      </c>
      <c r="K259" s="34" t="s">
        <v>192</v>
      </c>
      <c r="L259" s="35"/>
      <c r="M259" s="30">
        <v>3.0</v>
      </c>
      <c r="N259" s="71" t="s">
        <v>193</v>
      </c>
      <c r="O259" s="71" t="s">
        <v>194</v>
      </c>
      <c r="P259" s="71">
        <v>160.0</v>
      </c>
      <c r="Q259" s="71" t="s">
        <v>221</v>
      </c>
      <c r="R259" s="71" t="s">
        <v>222</v>
      </c>
      <c r="S259" s="71" t="s">
        <v>197</v>
      </c>
      <c r="T259" s="71" t="s">
        <v>1020</v>
      </c>
      <c r="U259" s="71">
        <v>1.5717681E7</v>
      </c>
    </row>
    <row r="260">
      <c r="A260" s="30">
        <v>51.193484</v>
      </c>
      <c r="B260" s="30">
        <v>25.524925</v>
      </c>
      <c r="C260" s="30" t="str">
        <f t="shared" si="1"/>
        <v>51.193484 25.524925</v>
      </c>
      <c r="D260" s="30">
        <v>72.0</v>
      </c>
      <c r="E260" s="36" t="s">
        <v>293</v>
      </c>
      <c r="F260" s="32" t="s">
        <v>1021</v>
      </c>
      <c r="G260" s="30" t="s">
        <v>190</v>
      </c>
      <c r="H260" s="33">
        <v>46093.0</v>
      </c>
      <c r="I260" s="30">
        <v>1266003.0</v>
      </c>
      <c r="J260" s="30" t="s">
        <v>1006</v>
      </c>
      <c r="K260" s="37" t="s">
        <v>202</v>
      </c>
      <c r="L260" s="30" t="s">
        <v>742</v>
      </c>
      <c r="M260" s="30">
        <v>3.0</v>
      </c>
      <c r="N260" s="30" t="s">
        <v>216</v>
      </c>
      <c r="O260" s="30" t="s">
        <v>194</v>
      </c>
      <c r="P260" s="30">
        <v>160.0</v>
      </c>
      <c r="Q260" s="30" t="s">
        <v>195</v>
      </c>
      <c r="R260" s="30" t="s">
        <v>222</v>
      </c>
      <c r="S260" s="30" t="s">
        <v>197</v>
      </c>
      <c r="T260" s="30" t="s">
        <v>1022</v>
      </c>
      <c r="U260" s="30">
        <v>1.5717729E7</v>
      </c>
    </row>
    <row r="261">
      <c r="A261" s="71">
        <v>51.193469</v>
      </c>
      <c r="B261" s="71">
        <v>25.524943</v>
      </c>
      <c r="C261" s="30" t="str">
        <f t="shared" si="1"/>
        <v>51.193469 25.524943</v>
      </c>
      <c r="D261" s="71">
        <v>72.0</v>
      </c>
      <c r="E261" s="72" t="s">
        <v>1023</v>
      </c>
      <c r="F261" s="73" t="s">
        <v>1024</v>
      </c>
      <c r="G261" s="30" t="s">
        <v>190</v>
      </c>
      <c r="H261" s="74">
        <v>46104.0</v>
      </c>
      <c r="I261" s="71">
        <v>1266003.0</v>
      </c>
      <c r="J261" s="30" t="s">
        <v>1025</v>
      </c>
      <c r="K261" s="34" t="s">
        <v>192</v>
      </c>
      <c r="L261" s="35"/>
      <c r="M261" s="30">
        <v>3.0</v>
      </c>
      <c r="N261" s="71" t="s">
        <v>193</v>
      </c>
      <c r="O261" s="71" t="s">
        <v>194</v>
      </c>
      <c r="P261" s="71">
        <v>160.0</v>
      </c>
      <c r="Q261" s="71" t="s">
        <v>221</v>
      </c>
      <c r="R261" s="71" t="s">
        <v>222</v>
      </c>
      <c r="S261" s="71" t="s">
        <v>197</v>
      </c>
      <c r="T261" s="71" t="s">
        <v>1026</v>
      </c>
      <c r="U261" s="71">
        <v>1.5717756E7</v>
      </c>
    </row>
    <row r="262">
      <c r="A262" s="30">
        <v>51.199414</v>
      </c>
      <c r="B262" s="30">
        <v>25.517728</v>
      </c>
      <c r="C262" s="30" t="str">
        <f t="shared" si="1"/>
        <v>51.199414 25.517728</v>
      </c>
      <c r="D262" s="30">
        <v>72.0</v>
      </c>
      <c r="E262" s="36" t="s">
        <v>482</v>
      </c>
      <c r="F262" s="32" t="s">
        <v>1027</v>
      </c>
      <c r="G262" s="30" t="s">
        <v>190</v>
      </c>
      <c r="H262" s="33">
        <v>46093.0</v>
      </c>
      <c r="I262" s="30">
        <v>1265490.0</v>
      </c>
      <c r="J262" s="30" t="s">
        <v>1006</v>
      </c>
      <c r="K262" s="37" t="s">
        <v>202</v>
      </c>
      <c r="L262" s="30" t="s">
        <v>742</v>
      </c>
      <c r="M262" s="30">
        <v>3.0</v>
      </c>
      <c r="N262" s="30" t="s">
        <v>216</v>
      </c>
      <c r="O262" s="30" t="s">
        <v>194</v>
      </c>
      <c r="P262" s="30">
        <v>160.0</v>
      </c>
      <c r="Q262" s="30" t="s">
        <v>195</v>
      </c>
      <c r="R262" s="30" t="s">
        <v>222</v>
      </c>
      <c r="S262" s="30" t="s">
        <v>197</v>
      </c>
      <c r="T262" s="30" t="s">
        <v>1028</v>
      </c>
      <c r="U262" s="30">
        <v>1.5717706E7</v>
      </c>
    </row>
    <row r="263">
      <c r="A263" s="71">
        <v>51.199402</v>
      </c>
      <c r="B263" s="71">
        <v>25.517747</v>
      </c>
      <c r="C263" s="30" t="str">
        <f t="shared" si="1"/>
        <v>51.199402 25.517747</v>
      </c>
      <c r="D263" s="71">
        <v>72.0</v>
      </c>
      <c r="E263" s="72" t="s">
        <v>1029</v>
      </c>
      <c r="F263" s="73" t="s">
        <v>1030</v>
      </c>
      <c r="G263" s="30" t="s">
        <v>190</v>
      </c>
      <c r="H263" s="74">
        <v>46104.0</v>
      </c>
      <c r="I263" s="71">
        <v>1265490.0</v>
      </c>
      <c r="J263" s="30" t="s">
        <v>1031</v>
      </c>
      <c r="K263" s="34" t="s">
        <v>192</v>
      </c>
      <c r="L263" s="35"/>
      <c r="M263" s="30">
        <v>3.0</v>
      </c>
      <c r="N263" s="71" t="s">
        <v>193</v>
      </c>
      <c r="O263" s="71" t="s">
        <v>194</v>
      </c>
      <c r="P263" s="71">
        <v>160.0</v>
      </c>
      <c r="Q263" s="71" t="s">
        <v>221</v>
      </c>
      <c r="R263" s="71" t="s">
        <v>222</v>
      </c>
      <c r="S263" s="71" t="s">
        <v>197</v>
      </c>
      <c r="T263" s="71" t="s">
        <v>1032</v>
      </c>
      <c r="U263" s="71">
        <v>1.5717778E7</v>
      </c>
    </row>
    <row r="264">
      <c r="A264" s="30">
        <v>51.205454</v>
      </c>
      <c r="B264" s="30">
        <v>25.50809</v>
      </c>
      <c r="C264" s="30" t="str">
        <f t="shared" si="1"/>
        <v>51.205454 25.50809</v>
      </c>
      <c r="D264" s="30">
        <v>72.0</v>
      </c>
      <c r="E264" s="36" t="s">
        <v>266</v>
      </c>
      <c r="F264" s="32" t="s">
        <v>1033</v>
      </c>
      <c r="G264" s="30" t="s">
        <v>190</v>
      </c>
      <c r="H264" s="33">
        <v>46092.0</v>
      </c>
      <c r="I264" s="30">
        <v>1265489.0</v>
      </c>
      <c r="J264" s="30" t="s">
        <v>1034</v>
      </c>
      <c r="K264" s="37" t="s">
        <v>202</v>
      </c>
      <c r="L264" s="30" t="s">
        <v>742</v>
      </c>
      <c r="M264" s="30">
        <v>3.0</v>
      </c>
      <c r="N264" s="30" t="s">
        <v>216</v>
      </c>
      <c r="O264" s="30" t="s">
        <v>194</v>
      </c>
      <c r="P264" s="30">
        <v>160.0</v>
      </c>
      <c r="Q264" s="30" t="s">
        <v>195</v>
      </c>
      <c r="R264" s="30" t="s">
        <v>222</v>
      </c>
      <c r="S264" s="30" t="s">
        <v>197</v>
      </c>
      <c r="T264" s="30" t="s">
        <v>1035</v>
      </c>
      <c r="U264" s="30">
        <v>1.5717682E7</v>
      </c>
    </row>
    <row r="265">
      <c r="A265" s="30">
        <v>51.113059</v>
      </c>
      <c r="B265" s="30">
        <v>25.589037</v>
      </c>
      <c r="C265" s="30" t="str">
        <f t="shared" si="1"/>
        <v>51.113059 25.589037</v>
      </c>
      <c r="D265" s="30">
        <v>73.0</v>
      </c>
      <c r="E265" s="36" t="s">
        <v>1036</v>
      </c>
      <c r="F265" s="32" t="s">
        <v>1037</v>
      </c>
      <c r="G265" s="30" t="s">
        <v>190</v>
      </c>
      <c r="H265" s="33">
        <v>46094.0</v>
      </c>
      <c r="I265" s="30">
        <v>1265999.0</v>
      </c>
      <c r="J265" s="30" t="s">
        <v>1038</v>
      </c>
      <c r="K265" s="37" t="s">
        <v>202</v>
      </c>
      <c r="L265" s="30" t="s">
        <v>742</v>
      </c>
      <c r="M265" s="30">
        <v>4.0</v>
      </c>
      <c r="N265" s="30" t="s">
        <v>216</v>
      </c>
      <c r="O265" s="30" t="s">
        <v>194</v>
      </c>
      <c r="P265" s="30">
        <v>160.0</v>
      </c>
      <c r="Q265" s="30" t="s">
        <v>221</v>
      </c>
      <c r="R265" s="30" t="s">
        <v>222</v>
      </c>
      <c r="S265" s="30" t="s">
        <v>197</v>
      </c>
      <c r="T265" s="30" t="s">
        <v>1039</v>
      </c>
      <c r="U265" s="30">
        <v>1.5717654E7</v>
      </c>
    </row>
    <row r="266">
      <c r="A266" s="71">
        <v>51.113082</v>
      </c>
      <c r="B266" s="71">
        <v>25.589028</v>
      </c>
      <c r="C266" s="30" t="str">
        <f t="shared" si="1"/>
        <v>51.113082 25.589028</v>
      </c>
      <c r="D266" s="71">
        <v>73.0</v>
      </c>
      <c r="E266" s="72" t="s">
        <v>1040</v>
      </c>
      <c r="F266" s="73" t="s">
        <v>1041</v>
      </c>
      <c r="G266" s="30" t="s">
        <v>190</v>
      </c>
      <c r="H266" s="74">
        <v>46104.0</v>
      </c>
      <c r="I266" s="71">
        <v>1265999.0</v>
      </c>
      <c r="J266" s="30" t="s">
        <v>1042</v>
      </c>
      <c r="K266" s="34" t="s">
        <v>192</v>
      </c>
      <c r="L266" s="35"/>
      <c r="M266" s="30">
        <v>3.0</v>
      </c>
      <c r="N266" s="71" t="s">
        <v>193</v>
      </c>
      <c r="O266" s="71" t="s">
        <v>194</v>
      </c>
      <c r="P266" s="71">
        <v>160.0</v>
      </c>
      <c r="Q266" s="71" t="s">
        <v>221</v>
      </c>
      <c r="R266" s="71" t="s">
        <v>222</v>
      </c>
      <c r="S266" s="71" t="s">
        <v>197</v>
      </c>
      <c r="T266" s="71" t="s">
        <v>1043</v>
      </c>
      <c r="U266" s="71">
        <v>1.5717655E7</v>
      </c>
    </row>
    <row r="267">
      <c r="A267" s="71">
        <v>51.106953</v>
      </c>
      <c r="B267" s="71">
        <v>25.594985</v>
      </c>
      <c r="C267" s="30" t="str">
        <f t="shared" si="1"/>
        <v>51.106953 25.594985</v>
      </c>
      <c r="D267" s="71">
        <v>73.0</v>
      </c>
      <c r="E267" s="72" t="s">
        <v>1044</v>
      </c>
      <c r="F267" s="73" t="s">
        <v>1045</v>
      </c>
      <c r="G267" s="30" t="s">
        <v>190</v>
      </c>
      <c r="H267" s="74">
        <v>46104.0</v>
      </c>
      <c r="I267" s="71">
        <v>1265998.0</v>
      </c>
      <c r="J267" s="30" t="s">
        <v>1046</v>
      </c>
      <c r="K267" s="34" t="s">
        <v>192</v>
      </c>
      <c r="L267" s="35"/>
      <c r="M267" s="30">
        <v>3.0</v>
      </c>
      <c r="N267" s="71" t="s">
        <v>193</v>
      </c>
      <c r="O267" s="71" t="s">
        <v>194</v>
      </c>
      <c r="P267" s="71">
        <v>160.0</v>
      </c>
      <c r="Q267" s="71" t="s">
        <v>221</v>
      </c>
      <c r="R267" s="71" t="s">
        <v>222</v>
      </c>
      <c r="S267" s="71" t="s">
        <v>197</v>
      </c>
      <c r="T267" s="71" t="s">
        <v>1047</v>
      </c>
      <c r="U267" s="71">
        <v>1.571773E7</v>
      </c>
    </row>
    <row r="268">
      <c r="A268" s="30">
        <v>51.579904</v>
      </c>
      <c r="B268" s="30">
        <v>25.157863</v>
      </c>
      <c r="C268" s="30" t="str">
        <f t="shared" si="1"/>
        <v>51.579904 25.157863</v>
      </c>
      <c r="D268" s="30">
        <v>91.0</v>
      </c>
      <c r="E268" s="39" t="s">
        <v>310</v>
      </c>
      <c r="F268" s="40" t="s">
        <v>201</v>
      </c>
      <c r="G268" s="41" t="s">
        <v>190</v>
      </c>
      <c r="H268" s="42">
        <v>46088.0</v>
      </c>
      <c r="I268" s="41">
        <v>1344209.0</v>
      </c>
      <c r="J268" s="30" t="s">
        <v>201</v>
      </c>
      <c r="K268" s="37" t="s">
        <v>202</v>
      </c>
      <c r="L268" s="77" t="s">
        <v>446</v>
      </c>
      <c r="M268" s="77">
        <v>3.0</v>
      </c>
      <c r="N268" s="30" t="s">
        <v>220</v>
      </c>
      <c r="O268" s="30" t="s">
        <v>194</v>
      </c>
      <c r="P268" s="30">
        <v>160.0</v>
      </c>
      <c r="Q268" s="30" t="s">
        <v>221</v>
      </c>
      <c r="R268" s="30" t="s">
        <v>222</v>
      </c>
      <c r="S268" s="30" t="s">
        <v>197</v>
      </c>
      <c r="T268" s="30" t="s">
        <v>1048</v>
      </c>
      <c r="U268" s="30">
        <v>1.5733651E7</v>
      </c>
    </row>
    <row r="269">
      <c r="A269" s="30">
        <v>51.580865</v>
      </c>
      <c r="B269" s="30">
        <v>25.154276</v>
      </c>
      <c r="C269" s="30" t="str">
        <f t="shared" si="1"/>
        <v>51.580865 25.154276</v>
      </c>
      <c r="D269" s="30">
        <v>91.0</v>
      </c>
      <c r="E269" s="39" t="s">
        <v>454</v>
      </c>
      <c r="F269" s="40" t="s">
        <v>201</v>
      </c>
      <c r="G269" s="41" t="s">
        <v>190</v>
      </c>
      <c r="H269" s="42">
        <v>46090.0</v>
      </c>
      <c r="I269" s="41">
        <v>1372952.0</v>
      </c>
      <c r="J269" s="30" t="s">
        <v>201</v>
      </c>
      <c r="K269" s="37" t="s">
        <v>202</v>
      </c>
      <c r="L269" s="77" t="s">
        <v>446</v>
      </c>
      <c r="M269" s="77">
        <v>3.0</v>
      </c>
      <c r="N269" s="30" t="s">
        <v>220</v>
      </c>
      <c r="O269" s="30" t="s">
        <v>194</v>
      </c>
      <c r="P269" s="30">
        <v>160.0</v>
      </c>
      <c r="Q269" s="30" t="s">
        <v>446</v>
      </c>
      <c r="R269" s="30" t="s">
        <v>196</v>
      </c>
      <c r="S269" s="30" t="s">
        <v>197</v>
      </c>
      <c r="T269" s="30" t="s">
        <v>1049</v>
      </c>
      <c r="U269" s="30">
        <v>1.5733654E7</v>
      </c>
    </row>
    <row r="270">
      <c r="A270" s="30">
        <v>51.579228</v>
      </c>
      <c r="B270" s="30">
        <v>25.155271</v>
      </c>
      <c r="C270" s="30" t="str">
        <f t="shared" si="1"/>
        <v>51.579228 25.155271</v>
      </c>
      <c r="D270" s="30">
        <v>91.0</v>
      </c>
      <c r="E270" s="39" t="s">
        <v>260</v>
      </c>
      <c r="F270" s="40" t="s">
        <v>201</v>
      </c>
      <c r="G270" s="41" t="s">
        <v>190</v>
      </c>
      <c r="H270" s="42">
        <v>46088.0</v>
      </c>
      <c r="I270" s="41">
        <v>1344211.0</v>
      </c>
      <c r="J270" s="30" t="s">
        <v>201</v>
      </c>
      <c r="K270" s="37" t="s">
        <v>202</v>
      </c>
      <c r="L270" s="77" t="s">
        <v>446</v>
      </c>
      <c r="M270" s="77">
        <v>3.0</v>
      </c>
      <c r="N270" s="30" t="s">
        <v>220</v>
      </c>
      <c r="O270" s="30" t="s">
        <v>194</v>
      </c>
      <c r="P270" s="30">
        <v>160.0</v>
      </c>
      <c r="Q270" s="30" t="s">
        <v>1050</v>
      </c>
      <c r="R270" s="30" t="s">
        <v>1051</v>
      </c>
      <c r="S270" s="30" t="s">
        <v>197</v>
      </c>
      <c r="T270" s="30" t="s">
        <v>1052</v>
      </c>
      <c r="U270" s="30">
        <v>1.5733653E7</v>
      </c>
    </row>
    <row r="271">
      <c r="A271" s="30">
        <v>51.575657</v>
      </c>
      <c r="B271" s="30">
        <v>25.155507</v>
      </c>
      <c r="C271" s="30" t="str">
        <f t="shared" si="1"/>
        <v>51.575657 25.155507</v>
      </c>
      <c r="D271" s="30">
        <v>91.0</v>
      </c>
      <c r="E271" s="39" t="s">
        <v>532</v>
      </c>
      <c r="F271" s="40" t="s">
        <v>1053</v>
      </c>
      <c r="G271" s="41" t="s">
        <v>190</v>
      </c>
      <c r="H271" s="42">
        <v>46081.0</v>
      </c>
      <c r="I271" s="41">
        <v>1372824.0</v>
      </c>
      <c r="J271" s="30" t="s">
        <v>201</v>
      </c>
      <c r="K271" s="37" t="s">
        <v>202</v>
      </c>
      <c r="L271" s="77" t="s">
        <v>446</v>
      </c>
      <c r="M271" s="77">
        <v>3.0</v>
      </c>
      <c r="N271" s="30" t="s">
        <v>220</v>
      </c>
      <c r="O271" s="30" t="s">
        <v>194</v>
      </c>
      <c r="P271" s="30">
        <v>160.0</v>
      </c>
      <c r="Q271" s="30" t="s">
        <v>195</v>
      </c>
      <c r="R271" s="30" t="s">
        <v>196</v>
      </c>
      <c r="S271" s="30" t="s">
        <v>197</v>
      </c>
      <c r="T271" s="30" t="s">
        <v>1054</v>
      </c>
      <c r="U271" s="30">
        <v>1.5733652E7</v>
      </c>
    </row>
    <row r="272">
      <c r="A272" s="30">
        <v>51.582375</v>
      </c>
      <c r="B272" s="30">
        <v>25.162931</v>
      </c>
      <c r="C272" s="30" t="str">
        <f t="shared" si="1"/>
        <v>51.582375 25.162931</v>
      </c>
      <c r="D272" s="30">
        <v>91.0</v>
      </c>
      <c r="E272" s="39" t="s">
        <v>1055</v>
      </c>
      <c r="F272" s="40" t="s">
        <v>201</v>
      </c>
      <c r="G272" s="41" t="s">
        <v>190</v>
      </c>
      <c r="H272" s="42">
        <v>46088.0</v>
      </c>
      <c r="I272" s="41">
        <v>1344207.0</v>
      </c>
      <c r="J272" s="41" t="s">
        <v>1056</v>
      </c>
      <c r="K272" s="37" t="s">
        <v>202</v>
      </c>
      <c r="L272" s="41" t="s">
        <v>446</v>
      </c>
      <c r="M272" s="41">
        <v>3.0</v>
      </c>
      <c r="N272" s="30" t="s">
        <v>220</v>
      </c>
      <c r="O272" s="30" t="s">
        <v>194</v>
      </c>
      <c r="P272" s="30">
        <v>160.0</v>
      </c>
      <c r="Q272" s="30" t="s">
        <v>221</v>
      </c>
      <c r="R272" s="30" t="s">
        <v>222</v>
      </c>
      <c r="S272" s="30" t="s">
        <v>197</v>
      </c>
      <c r="T272" s="30" t="s">
        <v>1057</v>
      </c>
      <c r="U272" s="30">
        <v>1.573365E7</v>
      </c>
    </row>
    <row r="273">
      <c r="A273" s="30">
        <v>51.582278</v>
      </c>
      <c r="B273" s="30">
        <v>25.165059</v>
      </c>
      <c r="C273" s="30" t="str">
        <f t="shared" si="1"/>
        <v>51.582278 25.165059</v>
      </c>
      <c r="D273" s="30">
        <v>91.0</v>
      </c>
      <c r="E273" s="39" t="s">
        <v>236</v>
      </c>
      <c r="F273" s="40" t="s">
        <v>201</v>
      </c>
      <c r="G273" s="41" t="s">
        <v>190</v>
      </c>
      <c r="H273" s="42">
        <v>46086.0</v>
      </c>
      <c r="I273" s="41">
        <v>1344206.0</v>
      </c>
      <c r="J273" s="41" t="s">
        <v>1056</v>
      </c>
      <c r="K273" s="37" t="s">
        <v>202</v>
      </c>
      <c r="L273" s="41" t="s">
        <v>446</v>
      </c>
      <c r="M273" s="41">
        <v>3.0</v>
      </c>
      <c r="N273" s="30" t="s">
        <v>220</v>
      </c>
      <c r="O273" s="30" t="s">
        <v>194</v>
      </c>
      <c r="P273" s="30">
        <v>160.0</v>
      </c>
      <c r="Q273" s="30" t="s">
        <v>446</v>
      </c>
      <c r="R273" s="30" t="s">
        <v>222</v>
      </c>
      <c r="S273" s="30" t="s">
        <v>197</v>
      </c>
      <c r="T273" s="30" t="s">
        <v>1058</v>
      </c>
      <c r="U273" s="30">
        <v>1.5733649E7</v>
      </c>
    </row>
    <row r="274">
      <c r="A274" s="30">
        <v>51.577383</v>
      </c>
      <c r="B274" s="30">
        <v>25.166458</v>
      </c>
      <c r="C274" s="30" t="str">
        <f t="shared" si="1"/>
        <v>51.577383 25.166458</v>
      </c>
      <c r="D274" s="30">
        <v>91.0</v>
      </c>
      <c r="E274" s="39" t="s">
        <v>1059</v>
      </c>
      <c r="F274" s="40" t="s">
        <v>201</v>
      </c>
      <c r="G274" s="41" t="s">
        <v>190</v>
      </c>
      <c r="H274" s="42">
        <v>46073.0</v>
      </c>
      <c r="I274" s="41">
        <v>1344194.0</v>
      </c>
      <c r="J274" s="41" t="s">
        <v>1056</v>
      </c>
      <c r="K274" s="37" t="s">
        <v>202</v>
      </c>
      <c r="L274" s="41" t="s">
        <v>446</v>
      </c>
      <c r="M274" s="41">
        <v>3.0</v>
      </c>
      <c r="N274" s="30" t="s">
        <v>220</v>
      </c>
      <c r="O274" s="30" t="s">
        <v>194</v>
      </c>
      <c r="P274" s="30">
        <v>160.0</v>
      </c>
      <c r="Q274" s="30" t="s">
        <v>446</v>
      </c>
      <c r="R274" s="30" t="s">
        <v>196</v>
      </c>
      <c r="S274" s="30" t="s">
        <v>197</v>
      </c>
      <c r="T274" s="30" t="s">
        <v>1060</v>
      </c>
      <c r="U274" s="30">
        <v>1.5733668E7</v>
      </c>
    </row>
    <row r="275">
      <c r="A275" s="30">
        <v>51.576178</v>
      </c>
      <c r="B275" s="30">
        <v>25.168286</v>
      </c>
      <c r="C275" s="30" t="str">
        <f t="shared" si="1"/>
        <v>51.576178 25.168286</v>
      </c>
      <c r="D275" s="30">
        <v>91.0</v>
      </c>
      <c r="E275" s="39" t="s">
        <v>264</v>
      </c>
      <c r="F275" s="40" t="s">
        <v>201</v>
      </c>
      <c r="G275" s="41" t="s">
        <v>190</v>
      </c>
      <c r="H275" s="42">
        <v>46086.0</v>
      </c>
      <c r="I275" s="41">
        <v>1344155.0</v>
      </c>
      <c r="J275" s="41" t="s">
        <v>1061</v>
      </c>
      <c r="K275" s="37" t="s">
        <v>202</v>
      </c>
      <c r="L275" s="41" t="s">
        <v>446</v>
      </c>
      <c r="M275" s="41">
        <v>2.0</v>
      </c>
      <c r="N275" s="30" t="s">
        <v>193</v>
      </c>
      <c r="O275" s="30" t="s">
        <v>194</v>
      </c>
      <c r="P275" s="30">
        <v>160.0</v>
      </c>
      <c r="Q275" s="30" t="s">
        <v>446</v>
      </c>
      <c r="R275" s="30" t="s">
        <v>1062</v>
      </c>
      <c r="S275" s="30" t="s">
        <v>197</v>
      </c>
      <c r="T275" s="30" t="s">
        <v>1063</v>
      </c>
      <c r="U275" s="30">
        <v>1.5733667E7</v>
      </c>
    </row>
    <row r="276">
      <c r="A276" s="30">
        <v>51.581903</v>
      </c>
      <c r="B276" s="30">
        <v>25.168031</v>
      </c>
      <c r="C276" s="30" t="str">
        <f t="shared" si="1"/>
        <v>51.581903 25.168031</v>
      </c>
      <c r="D276" s="30">
        <v>91.0</v>
      </c>
      <c r="E276" s="39" t="s">
        <v>471</v>
      </c>
      <c r="F276" s="40" t="s">
        <v>201</v>
      </c>
      <c r="G276" s="30" t="s">
        <v>190</v>
      </c>
      <c r="H276" s="42">
        <v>46086.0</v>
      </c>
      <c r="I276" s="30">
        <v>1344205.0</v>
      </c>
      <c r="J276" s="30" t="s">
        <v>201</v>
      </c>
      <c r="K276" s="37" t="s">
        <v>202</v>
      </c>
      <c r="L276" s="30" t="s">
        <v>1050</v>
      </c>
      <c r="M276" s="30">
        <v>3.0</v>
      </c>
      <c r="N276" s="30" t="s">
        <v>220</v>
      </c>
      <c r="O276" s="30" t="s">
        <v>194</v>
      </c>
      <c r="P276" s="30">
        <v>160.0</v>
      </c>
      <c r="Q276" s="30" t="s">
        <v>1050</v>
      </c>
      <c r="R276" s="30" t="s">
        <v>1051</v>
      </c>
      <c r="S276" s="30" t="s">
        <v>197</v>
      </c>
      <c r="T276" s="30" t="s">
        <v>1064</v>
      </c>
      <c r="U276" s="30">
        <v>1.5733666E7</v>
      </c>
    </row>
    <row r="277">
      <c r="A277" s="30">
        <v>51.581649</v>
      </c>
      <c r="B277" s="30">
        <v>25.170223</v>
      </c>
      <c r="C277" s="30" t="str">
        <f t="shared" si="1"/>
        <v>51.581649 25.170223</v>
      </c>
      <c r="D277" s="30">
        <v>91.0</v>
      </c>
      <c r="E277" s="39" t="s">
        <v>228</v>
      </c>
      <c r="F277" s="40" t="s">
        <v>201</v>
      </c>
      <c r="G277" s="30" t="s">
        <v>190</v>
      </c>
      <c r="H277" s="42">
        <v>46086.0</v>
      </c>
      <c r="I277" s="30">
        <v>1344153.0</v>
      </c>
      <c r="J277" s="41" t="s">
        <v>1065</v>
      </c>
      <c r="K277" s="37" t="s">
        <v>645</v>
      </c>
      <c r="L277" s="30" t="s">
        <v>446</v>
      </c>
      <c r="M277" s="30">
        <v>3.0</v>
      </c>
      <c r="N277" s="30" t="s">
        <v>220</v>
      </c>
      <c r="O277" s="30" t="s">
        <v>194</v>
      </c>
      <c r="P277" s="30">
        <v>160.0</v>
      </c>
      <c r="Q277" s="30" t="s">
        <v>1050</v>
      </c>
      <c r="R277" s="30" t="s">
        <v>1051</v>
      </c>
      <c r="S277" s="30" t="s">
        <v>197</v>
      </c>
      <c r="T277" s="30" t="s">
        <v>1066</v>
      </c>
      <c r="U277" s="30">
        <v>1.5733665E7</v>
      </c>
    </row>
    <row r="278">
      <c r="A278" s="30">
        <v>51.583441</v>
      </c>
      <c r="B278" s="30">
        <v>25.176486</v>
      </c>
      <c r="C278" s="30" t="str">
        <f t="shared" si="1"/>
        <v>51.583441 25.176486</v>
      </c>
      <c r="D278" s="30">
        <v>91.0</v>
      </c>
      <c r="E278" s="39" t="s">
        <v>266</v>
      </c>
      <c r="F278" s="40" t="s">
        <v>201</v>
      </c>
      <c r="G278" s="30" t="s">
        <v>190</v>
      </c>
      <c r="H278" s="33">
        <v>46088.0</v>
      </c>
      <c r="I278" s="30">
        <v>1344248.0</v>
      </c>
      <c r="J278" s="41" t="s">
        <v>1065</v>
      </c>
      <c r="K278" s="37" t="s">
        <v>202</v>
      </c>
      <c r="L278" s="30" t="s">
        <v>446</v>
      </c>
      <c r="M278" s="30">
        <v>3.0</v>
      </c>
      <c r="N278" s="30" t="s">
        <v>220</v>
      </c>
      <c r="O278" s="30" t="s">
        <v>194</v>
      </c>
      <c r="P278" s="30">
        <v>160.0</v>
      </c>
      <c r="Q278" s="30" t="s">
        <v>1050</v>
      </c>
      <c r="R278" s="30" t="s">
        <v>1051</v>
      </c>
      <c r="S278" s="30" t="s">
        <v>197</v>
      </c>
      <c r="T278" s="30" t="s">
        <v>1067</v>
      </c>
      <c r="U278" s="30">
        <v>1.5733664E7</v>
      </c>
    </row>
    <row r="279">
      <c r="A279" s="30">
        <v>51.584163</v>
      </c>
      <c r="B279" s="30">
        <v>25.178739</v>
      </c>
      <c r="C279" s="30" t="str">
        <f t="shared" si="1"/>
        <v>51.584163 25.178739</v>
      </c>
      <c r="D279" s="30">
        <v>91.0</v>
      </c>
      <c r="E279" s="39" t="s">
        <v>482</v>
      </c>
      <c r="F279" s="40" t="s">
        <v>201</v>
      </c>
      <c r="G279" s="41" t="s">
        <v>190</v>
      </c>
      <c r="H279" s="42">
        <v>46085.0</v>
      </c>
      <c r="I279" s="41">
        <v>1344241.0</v>
      </c>
      <c r="J279" s="40" t="s">
        <v>1068</v>
      </c>
      <c r="K279" s="37" t="s">
        <v>202</v>
      </c>
      <c r="L279" s="41" t="s">
        <v>446</v>
      </c>
      <c r="M279" s="41">
        <v>3.0</v>
      </c>
      <c r="N279" s="30" t="s">
        <v>220</v>
      </c>
      <c r="O279" s="30" t="s">
        <v>194</v>
      </c>
      <c r="P279" s="30">
        <v>160.0</v>
      </c>
      <c r="Q279" s="30" t="s">
        <v>1050</v>
      </c>
      <c r="R279" s="30" t="s">
        <v>1051</v>
      </c>
      <c r="S279" s="30" t="s">
        <v>197</v>
      </c>
      <c r="T279" s="30" t="s">
        <v>1069</v>
      </c>
      <c r="U279" s="30">
        <v>1.5733663E7</v>
      </c>
    </row>
    <row r="280">
      <c r="A280" s="30">
        <v>51.585985</v>
      </c>
      <c r="B280" s="30">
        <v>25.183666</v>
      </c>
      <c r="C280" s="30" t="str">
        <f t="shared" si="1"/>
        <v>51.585985 25.183666</v>
      </c>
      <c r="D280" s="30">
        <v>91.0</v>
      </c>
      <c r="E280" s="39" t="s">
        <v>293</v>
      </c>
      <c r="F280" s="40" t="s">
        <v>201</v>
      </c>
      <c r="G280" s="41" t="s">
        <v>190</v>
      </c>
      <c r="H280" s="42">
        <v>46088.0</v>
      </c>
      <c r="I280" s="41">
        <v>1344249.0</v>
      </c>
      <c r="J280" s="41" t="s">
        <v>1070</v>
      </c>
      <c r="K280" s="37" t="s">
        <v>202</v>
      </c>
      <c r="L280" s="41" t="s">
        <v>446</v>
      </c>
      <c r="M280" s="41">
        <v>3.0</v>
      </c>
      <c r="N280" s="30" t="s">
        <v>220</v>
      </c>
      <c r="O280" s="30" t="s">
        <v>194</v>
      </c>
      <c r="P280" s="30">
        <v>160.0</v>
      </c>
      <c r="Q280" s="30" t="s">
        <v>446</v>
      </c>
      <c r="R280" s="30" t="s">
        <v>222</v>
      </c>
      <c r="S280" s="30" t="s">
        <v>197</v>
      </c>
      <c r="T280" s="30" t="s">
        <v>1071</v>
      </c>
      <c r="U280" s="30">
        <v>1.5733662E7</v>
      </c>
    </row>
    <row r="281">
      <c r="A281" s="30">
        <v>51.515707</v>
      </c>
      <c r="B281" s="30">
        <v>25.231727</v>
      </c>
      <c r="C281" s="30" t="str">
        <f t="shared" si="1"/>
        <v>51.515707 25.231727</v>
      </c>
      <c r="D281" s="30">
        <v>56.0</v>
      </c>
      <c r="E281" s="36" t="s">
        <v>228</v>
      </c>
      <c r="F281" s="32" t="s">
        <v>1072</v>
      </c>
      <c r="G281" s="30" t="s">
        <v>190</v>
      </c>
      <c r="H281" s="33">
        <v>46080.0</v>
      </c>
      <c r="I281" s="30" t="s">
        <v>201</v>
      </c>
      <c r="J281" s="30" t="s">
        <v>201</v>
      </c>
      <c r="K281" s="34" t="s">
        <v>202</v>
      </c>
      <c r="L281" s="35"/>
      <c r="M281" s="30">
        <v>3.0</v>
      </c>
      <c r="N281" s="30" t="s">
        <v>193</v>
      </c>
      <c r="O281" s="30" t="s">
        <v>194</v>
      </c>
      <c r="P281" s="30">
        <v>160.0</v>
      </c>
      <c r="Q281" s="30" t="s">
        <v>195</v>
      </c>
      <c r="R281" s="30" t="s">
        <v>196</v>
      </c>
      <c r="S281" s="30" t="s">
        <v>197</v>
      </c>
      <c r="T281" s="30" t="s">
        <v>1073</v>
      </c>
      <c r="U281" s="30">
        <v>1.5717683E7</v>
      </c>
    </row>
    <row r="282">
      <c r="A282" s="30">
        <v>51.106936</v>
      </c>
      <c r="B282" s="30">
        <v>25.595001</v>
      </c>
      <c r="C282" s="30" t="str">
        <f t="shared" si="1"/>
        <v>51.106936 25.595001</v>
      </c>
      <c r="D282" s="30">
        <v>73.0</v>
      </c>
      <c r="E282" s="39" t="s">
        <v>1074</v>
      </c>
      <c r="F282" s="32" t="s">
        <v>1075</v>
      </c>
      <c r="G282" s="30" t="s">
        <v>190</v>
      </c>
      <c r="H282" s="33">
        <v>46094.0</v>
      </c>
      <c r="I282" s="30">
        <v>1265998.0</v>
      </c>
      <c r="J282" s="30" t="s">
        <v>1076</v>
      </c>
      <c r="K282" s="37" t="s">
        <v>202</v>
      </c>
      <c r="L282" s="30" t="s">
        <v>742</v>
      </c>
      <c r="M282" s="30">
        <v>4.0</v>
      </c>
      <c r="N282" s="30" t="s">
        <v>216</v>
      </c>
      <c r="O282" s="30" t="s">
        <v>194</v>
      </c>
      <c r="P282" s="30">
        <v>160.0</v>
      </c>
      <c r="Q282" s="30" t="s">
        <v>195</v>
      </c>
      <c r="R282" s="30" t="s">
        <v>222</v>
      </c>
      <c r="S282" s="30" t="s">
        <v>197</v>
      </c>
      <c r="T282" s="30" t="s">
        <v>1077</v>
      </c>
      <c r="U282" s="30">
        <v>1.5717707E7</v>
      </c>
    </row>
    <row r="283">
      <c r="A283" s="30">
        <v>51.100156</v>
      </c>
      <c r="B283" s="30">
        <v>25.601615</v>
      </c>
      <c r="C283" s="30" t="str">
        <f t="shared" si="1"/>
        <v>51.100156 25.601615</v>
      </c>
      <c r="D283" s="30">
        <v>73.0</v>
      </c>
      <c r="E283" s="39" t="s">
        <v>1078</v>
      </c>
      <c r="F283" s="32" t="s">
        <v>1079</v>
      </c>
      <c r="G283" s="30" t="s">
        <v>190</v>
      </c>
      <c r="H283" s="33">
        <v>46094.0</v>
      </c>
      <c r="I283" s="30">
        <v>1265997.0</v>
      </c>
      <c r="J283" s="30" t="s">
        <v>888</v>
      </c>
      <c r="K283" s="43" t="s">
        <v>202</v>
      </c>
      <c r="L283" s="30" t="s">
        <v>742</v>
      </c>
      <c r="M283" s="30">
        <v>3.0</v>
      </c>
      <c r="N283" s="30" t="s">
        <v>216</v>
      </c>
      <c r="O283" s="30" t="s">
        <v>194</v>
      </c>
      <c r="P283" s="30">
        <v>160.0</v>
      </c>
      <c r="Q283" s="30" t="s">
        <v>195</v>
      </c>
      <c r="R283" s="30" t="s">
        <v>222</v>
      </c>
      <c r="S283" s="30" t="s">
        <v>197</v>
      </c>
      <c r="T283" s="30" t="s">
        <v>1080</v>
      </c>
      <c r="U283" s="30">
        <v>1.5717731E7</v>
      </c>
    </row>
    <row r="284">
      <c r="A284" s="71">
        <v>51.100178</v>
      </c>
      <c r="B284" s="71">
        <v>25.601594</v>
      </c>
      <c r="C284" s="30" t="str">
        <f t="shared" si="1"/>
        <v>51.100178 25.601594</v>
      </c>
      <c r="D284" s="71">
        <v>73.0</v>
      </c>
      <c r="E284" s="72" t="s">
        <v>1081</v>
      </c>
      <c r="F284" s="73" t="s">
        <v>1082</v>
      </c>
      <c r="G284" s="30" t="s">
        <v>190</v>
      </c>
      <c r="H284" s="74">
        <v>46104.0</v>
      </c>
      <c r="I284" s="71">
        <v>1265997.0</v>
      </c>
      <c r="J284" s="30" t="s">
        <v>1083</v>
      </c>
      <c r="K284" s="34" t="s">
        <v>192</v>
      </c>
      <c r="L284" s="35"/>
      <c r="M284" s="30">
        <v>3.0</v>
      </c>
      <c r="N284" s="71" t="s">
        <v>193</v>
      </c>
      <c r="O284" s="71" t="s">
        <v>194</v>
      </c>
      <c r="P284" s="71">
        <v>160.0</v>
      </c>
      <c r="Q284" s="71" t="s">
        <v>221</v>
      </c>
      <c r="R284" s="71" t="s">
        <v>222</v>
      </c>
      <c r="S284" s="71" t="s">
        <v>197</v>
      </c>
      <c r="T284" s="71" t="s">
        <v>1084</v>
      </c>
      <c r="U284" s="71">
        <v>1.5717732E7</v>
      </c>
    </row>
    <row r="285">
      <c r="A285" s="30">
        <v>51.589462</v>
      </c>
      <c r="B285" s="30">
        <v>25.151097</v>
      </c>
      <c r="C285" s="30" t="str">
        <f t="shared" si="1"/>
        <v>51.589462 25.151097</v>
      </c>
      <c r="D285" s="30">
        <v>90.0</v>
      </c>
      <c r="E285" s="39" t="s">
        <v>1085</v>
      </c>
      <c r="F285" s="40" t="s">
        <v>201</v>
      </c>
      <c r="G285" s="41" t="s">
        <v>303</v>
      </c>
      <c r="H285" s="42">
        <v>46081.0</v>
      </c>
      <c r="I285" s="41">
        <v>1344251.0</v>
      </c>
      <c r="J285" s="41" t="s">
        <v>1086</v>
      </c>
      <c r="K285" s="37" t="s">
        <v>202</v>
      </c>
      <c r="L285" s="41" t="s">
        <v>446</v>
      </c>
      <c r="M285" s="41">
        <v>3.0</v>
      </c>
      <c r="N285" s="41" t="s">
        <v>193</v>
      </c>
      <c r="O285" s="30" t="s">
        <v>194</v>
      </c>
      <c r="P285" s="30">
        <v>160.0</v>
      </c>
      <c r="Q285" s="30" t="s">
        <v>221</v>
      </c>
      <c r="R285" s="30" t="s">
        <v>196</v>
      </c>
      <c r="S285" s="30" t="s">
        <v>197</v>
      </c>
      <c r="T285" s="30" t="s">
        <v>1087</v>
      </c>
      <c r="U285" s="30">
        <v>1.5733658E7</v>
      </c>
    </row>
    <row r="286">
      <c r="A286" s="30">
        <v>51.586759</v>
      </c>
      <c r="B286" s="30">
        <v>25.186858</v>
      </c>
      <c r="C286" s="30" t="str">
        <f t="shared" si="1"/>
        <v>51.586759 25.186858</v>
      </c>
      <c r="D286" s="30">
        <v>90.0</v>
      </c>
      <c r="E286" s="39" t="s">
        <v>289</v>
      </c>
      <c r="F286" s="40" t="s">
        <v>201</v>
      </c>
      <c r="G286" s="41" t="s">
        <v>190</v>
      </c>
      <c r="H286" s="42">
        <v>46073.0</v>
      </c>
      <c r="I286" s="41">
        <v>1344250.0</v>
      </c>
      <c r="J286" s="41" t="s">
        <v>1056</v>
      </c>
      <c r="K286" s="37" t="s">
        <v>202</v>
      </c>
      <c r="L286" s="41" t="s">
        <v>446</v>
      </c>
      <c r="M286" s="41">
        <v>3.0</v>
      </c>
      <c r="N286" s="30" t="s">
        <v>220</v>
      </c>
      <c r="O286" s="30" t="s">
        <v>194</v>
      </c>
      <c r="P286" s="30">
        <v>160.0</v>
      </c>
      <c r="Q286" s="30" t="s">
        <v>1050</v>
      </c>
      <c r="R286" s="30" t="s">
        <v>1051</v>
      </c>
      <c r="S286" s="30" t="s">
        <v>197</v>
      </c>
      <c r="T286" s="30" t="s">
        <v>1088</v>
      </c>
      <c r="U286" s="30">
        <v>1.5733661E7</v>
      </c>
    </row>
    <row r="287">
      <c r="A287" s="30">
        <v>51.602166</v>
      </c>
      <c r="B287" s="30">
        <v>25.171758</v>
      </c>
      <c r="C287" s="30" t="str">
        <f t="shared" si="1"/>
        <v>51.602166 25.171758</v>
      </c>
      <c r="D287" s="30">
        <v>90.0</v>
      </c>
      <c r="E287" s="39" t="s">
        <v>679</v>
      </c>
      <c r="F287" s="40" t="s">
        <v>201</v>
      </c>
      <c r="G287" s="30" t="s">
        <v>303</v>
      </c>
      <c r="H287" s="33">
        <v>46086.0</v>
      </c>
      <c r="I287" s="30" t="s">
        <v>201</v>
      </c>
      <c r="J287" s="30" t="s">
        <v>1089</v>
      </c>
      <c r="K287" s="37" t="s">
        <v>202</v>
      </c>
      <c r="L287" s="30" t="s">
        <v>195</v>
      </c>
      <c r="M287" s="30">
        <v>5.0</v>
      </c>
      <c r="N287" s="30" t="s">
        <v>220</v>
      </c>
      <c r="O287" s="30" t="s">
        <v>194</v>
      </c>
      <c r="P287" s="30">
        <v>160.0</v>
      </c>
      <c r="Q287" s="30" t="s">
        <v>446</v>
      </c>
      <c r="R287" s="30" t="s">
        <v>196</v>
      </c>
      <c r="S287" s="30" t="s">
        <v>197</v>
      </c>
      <c r="T287" s="30" t="s">
        <v>1090</v>
      </c>
      <c r="U287" s="30">
        <v>1.573366E7</v>
      </c>
    </row>
    <row r="288">
      <c r="A288" s="30">
        <v>51.585242</v>
      </c>
      <c r="B288" s="30">
        <v>25.151109</v>
      </c>
      <c r="C288" s="30" t="str">
        <f t="shared" si="1"/>
        <v>51.585242 25.151109</v>
      </c>
      <c r="D288" s="30">
        <v>68.0</v>
      </c>
      <c r="E288" s="61" t="s">
        <v>679</v>
      </c>
      <c r="F288" s="78" t="s">
        <v>201</v>
      </c>
      <c r="G288" s="57" t="s">
        <v>190</v>
      </c>
      <c r="H288" s="33">
        <v>46107.0</v>
      </c>
      <c r="I288" s="30" t="s">
        <v>201</v>
      </c>
      <c r="J288" s="30" t="s">
        <v>201</v>
      </c>
      <c r="K288" s="62" t="s">
        <v>252</v>
      </c>
      <c r="L288" s="63"/>
      <c r="M288" s="30">
        <v>3.0</v>
      </c>
      <c r="N288" s="57" t="s">
        <v>356</v>
      </c>
      <c r="O288" s="30" t="s">
        <v>194</v>
      </c>
      <c r="P288" s="30">
        <v>160.0</v>
      </c>
      <c r="Q288" s="30" t="s">
        <v>195</v>
      </c>
      <c r="R288" s="30" t="s">
        <v>196</v>
      </c>
      <c r="S288" s="30" t="s">
        <v>197</v>
      </c>
      <c r="T288" s="30" t="s">
        <v>1091</v>
      </c>
      <c r="U288" s="30">
        <v>1.5733659E7</v>
      </c>
    </row>
    <row r="289">
      <c r="A289" s="30">
        <v>51.581467</v>
      </c>
      <c r="B289" s="30">
        <v>25.151605</v>
      </c>
      <c r="C289" s="30" t="str">
        <f t="shared" si="1"/>
        <v>51.581467 25.151605</v>
      </c>
      <c r="D289" s="30">
        <v>90.0</v>
      </c>
      <c r="E289" s="39" t="s">
        <v>440</v>
      </c>
      <c r="F289" s="40" t="s">
        <v>201</v>
      </c>
      <c r="G289" s="41" t="s">
        <v>190</v>
      </c>
      <c r="H289" s="42">
        <v>46088.0</v>
      </c>
      <c r="I289" s="41">
        <v>1344214.0</v>
      </c>
      <c r="J289" s="30" t="s">
        <v>201</v>
      </c>
      <c r="K289" s="37" t="s">
        <v>202</v>
      </c>
      <c r="L289" s="77" t="s">
        <v>446</v>
      </c>
      <c r="M289" s="77">
        <v>3.0</v>
      </c>
      <c r="N289" s="30" t="s">
        <v>220</v>
      </c>
      <c r="O289" s="30" t="s">
        <v>194</v>
      </c>
      <c r="P289" s="30">
        <v>160.0</v>
      </c>
      <c r="Q289" s="30" t="s">
        <v>446</v>
      </c>
      <c r="R289" s="30" t="s">
        <v>222</v>
      </c>
      <c r="S289" s="30" t="s">
        <v>197</v>
      </c>
      <c r="T289" s="30" t="s">
        <v>1092</v>
      </c>
      <c r="U289" s="30">
        <v>1.5733657E7</v>
      </c>
    </row>
    <row r="290">
      <c r="A290" s="30">
        <v>51.579368</v>
      </c>
      <c r="B290" s="30">
        <v>25.166571</v>
      </c>
      <c r="C290" s="30" t="str">
        <f t="shared" si="1"/>
        <v>51.579368 25.166571</v>
      </c>
      <c r="D290" s="30">
        <v>91.0</v>
      </c>
      <c r="E290" s="39" t="s">
        <v>1093</v>
      </c>
      <c r="F290" s="40" t="s">
        <v>201</v>
      </c>
      <c r="G290" s="41" t="s">
        <v>303</v>
      </c>
      <c r="H290" s="42">
        <v>46087.0</v>
      </c>
      <c r="I290" s="41">
        <v>1344195.0</v>
      </c>
      <c r="J290" s="41" t="s">
        <v>1094</v>
      </c>
      <c r="K290" s="37" t="s">
        <v>202</v>
      </c>
      <c r="L290" s="41" t="s">
        <v>201</v>
      </c>
      <c r="M290" s="41">
        <v>5.0</v>
      </c>
      <c r="N290" s="41" t="s">
        <v>220</v>
      </c>
      <c r="O290" s="30" t="s">
        <v>194</v>
      </c>
      <c r="P290" s="30">
        <v>160.0</v>
      </c>
      <c r="Q290" s="30" t="s">
        <v>221</v>
      </c>
      <c r="R290" s="30" t="s">
        <v>222</v>
      </c>
      <c r="S290" s="30" t="s">
        <v>197</v>
      </c>
      <c r="T290" s="30" t="s">
        <v>1095</v>
      </c>
      <c r="U290" s="30">
        <v>1.5733656E7</v>
      </c>
    </row>
    <row r="291">
      <c r="A291" s="30">
        <v>51.575073</v>
      </c>
      <c r="B291" s="30">
        <v>25.165046</v>
      </c>
      <c r="C291" s="30" t="str">
        <f t="shared" si="1"/>
        <v>51.575073 25.165046</v>
      </c>
      <c r="D291" s="30">
        <v>91.0</v>
      </c>
      <c r="E291" s="39" t="s">
        <v>375</v>
      </c>
      <c r="F291" s="40" t="s">
        <v>201</v>
      </c>
      <c r="G291" s="41" t="s">
        <v>303</v>
      </c>
      <c r="H291" s="42">
        <v>46086.0</v>
      </c>
      <c r="I291" s="41">
        <v>1344154.0</v>
      </c>
      <c r="J291" s="41" t="s">
        <v>1056</v>
      </c>
      <c r="K291" s="37" t="s">
        <v>202</v>
      </c>
      <c r="L291" s="41" t="s">
        <v>446</v>
      </c>
      <c r="M291" s="41">
        <v>3.0</v>
      </c>
      <c r="N291" s="30" t="s">
        <v>220</v>
      </c>
      <c r="O291" s="30" t="s">
        <v>194</v>
      </c>
      <c r="P291" s="30">
        <v>160.0</v>
      </c>
      <c r="Q291" s="30" t="s">
        <v>1050</v>
      </c>
      <c r="R291" s="30" t="s">
        <v>1051</v>
      </c>
      <c r="S291" s="30" t="s">
        <v>197</v>
      </c>
      <c r="T291" s="30" t="s">
        <v>1096</v>
      </c>
      <c r="U291" s="30">
        <v>1.5733655E7</v>
      </c>
    </row>
    <row r="292">
      <c r="A292" s="30">
        <v>51.405682</v>
      </c>
      <c r="B292" s="30">
        <v>25.310028</v>
      </c>
      <c r="C292" s="30" t="str">
        <f t="shared" si="1"/>
        <v>51.405682 25.310028</v>
      </c>
      <c r="D292" s="30">
        <v>51.0</v>
      </c>
      <c r="E292" s="36" t="s">
        <v>1097</v>
      </c>
      <c r="F292" s="32" t="s">
        <v>1098</v>
      </c>
      <c r="G292" s="30" t="s">
        <v>190</v>
      </c>
      <c r="H292" s="33">
        <v>46096.0</v>
      </c>
      <c r="I292" s="30">
        <v>1371637.0</v>
      </c>
      <c r="J292" s="30" t="s">
        <v>201</v>
      </c>
      <c r="K292" s="41" t="s">
        <v>202</v>
      </c>
      <c r="L292" s="35"/>
      <c r="M292" s="30">
        <v>3.0</v>
      </c>
      <c r="N292" s="30" t="s">
        <v>1099</v>
      </c>
      <c r="O292" s="30" t="s">
        <v>194</v>
      </c>
      <c r="P292" s="30">
        <v>160.0</v>
      </c>
      <c r="Q292" s="30" t="s">
        <v>221</v>
      </c>
      <c r="R292" s="30" t="s">
        <v>222</v>
      </c>
      <c r="S292" s="30" t="s">
        <v>197</v>
      </c>
      <c r="T292" s="30" t="s">
        <v>1100</v>
      </c>
      <c r="U292" s="30">
        <v>1.5717764E7</v>
      </c>
    </row>
    <row r="293">
      <c r="A293" s="30">
        <v>51.407197</v>
      </c>
      <c r="B293" s="30">
        <v>25.309997</v>
      </c>
      <c r="C293" s="30" t="str">
        <f t="shared" si="1"/>
        <v>51.407197 25.309997</v>
      </c>
      <c r="D293" s="30">
        <v>51.0</v>
      </c>
      <c r="E293" s="36" t="s">
        <v>1101</v>
      </c>
      <c r="F293" s="32" t="s">
        <v>1102</v>
      </c>
      <c r="G293" s="30" t="s">
        <v>190</v>
      </c>
      <c r="H293" s="33">
        <v>46096.0</v>
      </c>
      <c r="I293" s="30">
        <v>1394697.0</v>
      </c>
      <c r="J293" s="30" t="s">
        <v>201</v>
      </c>
      <c r="K293" s="41" t="s">
        <v>202</v>
      </c>
      <c r="L293" s="35"/>
      <c r="M293" s="30">
        <v>3.0</v>
      </c>
      <c r="N293" s="30" t="s">
        <v>1099</v>
      </c>
      <c r="O293" s="30" t="s">
        <v>194</v>
      </c>
      <c r="P293" s="30">
        <v>160.0</v>
      </c>
      <c r="Q293" s="30" t="s">
        <v>221</v>
      </c>
      <c r="R293" s="30" t="s">
        <v>222</v>
      </c>
      <c r="S293" s="30" t="s">
        <v>197</v>
      </c>
      <c r="T293" s="30" t="s">
        <v>1103</v>
      </c>
      <c r="U293" s="30">
        <v>1.5717645E7</v>
      </c>
    </row>
    <row r="294">
      <c r="A294" s="30">
        <v>51.406932</v>
      </c>
      <c r="B294" s="30">
        <v>25.312546</v>
      </c>
      <c r="C294" s="30" t="str">
        <f t="shared" si="1"/>
        <v>51.406932 25.312546</v>
      </c>
      <c r="D294" s="30">
        <v>51.0</v>
      </c>
      <c r="E294" s="36" t="s">
        <v>1104</v>
      </c>
      <c r="F294" s="32" t="s">
        <v>1105</v>
      </c>
      <c r="G294" s="30" t="s">
        <v>190</v>
      </c>
      <c r="H294" s="33">
        <v>46096.0</v>
      </c>
      <c r="I294" s="30">
        <v>1394696.0</v>
      </c>
      <c r="J294" s="30" t="s">
        <v>201</v>
      </c>
      <c r="K294" s="41" t="s">
        <v>202</v>
      </c>
      <c r="L294" s="35"/>
      <c r="M294" s="30">
        <v>3.0</v>
      </c>
      <c r="N294" s="30" t="s">
        <v>1099</v>
      </c>
      <c r="O294" s="30" t="s">
        <v>194</v>
      </c>
      <c r="P294" s="30">
        <v>160.0</v>
      </c>
      <c r="Q294" s="30" t="s">
        <v>221</v>
      </c>
      <c r="R294" s="30" t="s">
        <v>222</v>
      </c>
      <c r="S294" s="30" t="s">
        <v>197</v>
      </c>
      <c r="T294" s="30" t="s">
        <v>1106</v>
      </c>
      <c r="U294" s="30">
        <v>1.57176E7</v>
      </c>
    </row>
    <row r="295">
      <c r="A295" s="30">
        <v>51.453655</v>
      </c>
      <c r="B295" s="30">
        <v>25.310712</v>
      </c>
      <c r="C295" s="30" t="str">
        <f t="shared" si="1"/>
        <v>51.453655 25.310712</v>
      </c>
      <c r="D295" s="30">
        <v>52.0</v>
      </c>
      <c r="E295" s="36" t="s">
        <v>1107</v>
      </c>
      <c r="F295" s="32" t="s">
        <v>1108</v>
      </c>
      <c r="G295" s="30" t="s">
        <v>190</v>
      </c>
      <c r="H295" s="33">
        <v>46092.0</v>
      </c>
      <c r="I295" s="30">
        <v>1372228.0</v>
      </c>
      <c r="J295" s="30" t="s">
        <v>201</v>
      </c>
      <c r="K295" s="43" t="s">
        <v>202</v>
      </c>
      <c r="L295" s="30" t="s">
        <v>195</v>
      </c>
      <c r="M295" s="30">
        <v>3.0</v>
      </c>
      <c r="N295" s="57" t="s">
        <v>304</v>
      </c>
      <c r="O295" s="30" t="s">
        <v>194</v>
      </c>
      <c r="P295" s="30">
        <v>160.0</v>
      </c>
      <c r="Q295" s="30" t="s">
        <v>221</v>
      </c>
      <c r="R295" s="30" t="s">
        <v>222</v>
      </c>
      <c r="S295" s="30" t="s">
        <v>197</v>
      </c>
      <c r="T295" s="30" t="s">
        <v>1109</v>
      </c>
      <c r="U295" s="30">
        <v>1.5717601E7</v>
      </c>
    </row>
    <row r="296">
      <c r="A296" s="30">
        <v>51.452671</v>
      </c>
      <c r="B296" s="30">
        <v>25.312364</v>
      </c>
      <c r="C296" s="30" t="str">
        <f t="shared" si="1"/>
        <v>51.452671 25.312364</v>
      </c>
      <c r="D296" s="30">
        <v>52.0</v>
      </c>
      <c r="E296" s="36" t="s">
        <v>1110</v>
      </c>
      <c r="F296" s="30" t="s">
        <v>1111</v>
      </c>
      <c r="G296" s="30" t="s">
        <v>190</v>
      </c>
      <c r="H296" s="33">
        <v>46092.0</v>
      </c>
      <c r="I296" s="30">
        <v>1372229.0</v>
      </c>
      <c r="J296" s="30" t="s">
        <v>201</v>
      </c>
      <c r="K296" s="43" t="s">
        <v>202</v>
      </c>
      <c r="L296" s="30" t="s">
        <v>195</v>
      </c>
      <c r="M296" s="30">
        <v>3.0</v>
      </c>
      <c r="N296" s="57" t="s">
        <v>304</v>
      </c>
      <c r="O296" s="30" t="s">
        <v>194</v>
      </c>
      <c r="P296" s="30">
        <v>160.0</v>
      </c>
      <c r="Q296" s="30" t="s">
        <v>221</v>
      </c>
      <c r="R296" s="30" t="s">
        <v>222</v>
      </c>
      <c r="S296" s="30" t="s">
        <v>197</v>
      </c>
      <c r="T296" s="30" t="s">
        <v>1112</v>
      </c>
      <c r="U296" s="30">
        <v>1.5717622E7</v>
      </c>
    </row>
    <row r="297">
      <c r="A297" s="30">
        <v>51.451936</v>
      </c>
      <c r="B297" s="30">
        <v>25.313615</v>
      </c>
      <c r="C297" s="30" t="str">
        <f t="shared" si="1"/>
        <v>51.451936 25.313615</v>
      </c>
      <c r="D297" s="30">
        <v>52.0</v>
      </c>
      <c r="E297" s="36" t="s">
        <v>1113</v>
      </c>
      <c r="F297" s="30" t="s">
        <v>1114</v>
      </c>
      <c r="G297" s="30" t="s">
        <v>190</v>
      </c>
      <c r="H297" s="33">
        <v>46092.0</v>
      </c>
      <c r="I297" s="30">
        <v>1372230.0</v>
      </c>
      <c r="J297" s="30" t="s">
        <v>201</v>
      </c>
      <c r="K297" s="43" t="s">
        <v>202</v>
      </c>
      <c r="L297" s="30" t="s">
        <v>195</v>
      </c>
      <c r="M297" s="30">
        <v>3.0</v>
      </c>
      <c r="N297" s="57" t="s">
        <v>304</v>
      </c>
      <c r="O297" s="30" t="s">
        <v>194</v>
      </c>
      <c r="P297" s="30">
        <v>160.0</v>
      </c>
      <c r="Q297" s="30" t="s">
        <v>221</v>
      </c>
      <c r="R297" s="30" t="s">
        <v>222</v>
      </c>
      <c r="S297" s="30" t="s">
        <v>197</v>
      </c>
      <c r="T297" s="30" t="s">
        <v>1115</v>
      </c>
      <c r="U297" s="30">
        <v>1.5717623E7</v>
      </c>
    </row>
    <row r="298">
      <c r="A298" s="30">
        <v>51.446907</v>
      </c>
      <c r="B298" s="30">
        <v>25.33108</v>
      </c>
      <c r="C298" s="30" t="str">
        <f t="shared" si="1"/>
        <v>51.446907 25.33108</v>
      </c>
      <c r="D298" s="30">
        <v>51.0</v>
      </c>
      <c r="E298" s="36" t="s">
        <v>1116</v>
      </c>
      <c r="F298" s="30" t="s">
        <v>1117</v>
      </c>
      <c r="G298" s="30" t="s">
        <v>190</v>
      </c>
      <c r="H298" s="33">
        <v>46096.0</v>
      </c>
      <c r="I298" s="30">
        <v>1372232.0</v>
      </c>
      <c r="J298" s="30" t="s">
        <v>201</v>
      </c>
      <c r="K298" s="41" t="s">
        <v>202</v>
      </c>
      <c r="L298" s="35"/>
      <c r="M298" s="30">
        <v>3.0</v>
      </c>
      <c r="N298" s="30" t="s">
        <v>1099</v>
      </c>
      <c r="O298" s="30" t="s">
        <v>194</v>
      </c>
      <c r="P298" s="30">
        <v>160.0</v>
      </c>
      <c r="Q298" s="30" t="s">
        <v>221</v>
      </c>
      <c r="R298" s="30" t="s">
        <v>222</v>
      </c>
      <c r="S298" s="30" t="s">
        <v>197</v>
      </c>
      <c r="T298" s="30" t="s">
        <v>1118</v>
      </c>
      <c r="U298" s="30">
        <v>1.5717661E7</v>
      </c>
    </row>
    <row r="299">
      <c r="A299" s="30">
        <v>51.452071</v>
      </c>
      <c r="B299" s="30">
        <v>25.320508</v>
      </c>
      <c r="C299" s="30" t="str">
        <f t="shared" si="1"/>
        <v>51.452071 25.320508</v>
      </c>
      <c r="D299" s="30">
        <v>51.0</v>
      </c>
      <c r="E299" s="36" t="s">
        <v>1119</v>
      </c>
      <c r="F299" s="30" t="s">
        <v>1120</v>
      </c>
      <c r="G299" s="30" t="s">
        <v>190</v>
      </c>
      <c r="H299" s="33">
        <v>46096.0</v>
      </c>
      <c r="I299" s="30">
        <v>1372231.0</v>
      </c>
      <c r="J299" s="30" t="s">
        <v>201</v>
      </c>
      <c r="K299" s="41" t="s">
        <v>202</v>
      </c>
      <c r="L299" s="35"/>
      <c r="M299" s="30">
        <v>3.0</v>
      </c>
      <c r="N299" s="30" t="s">
        <v>1099</v>
      </c>
      <c r="O299" s="30" t="s">
        <v>194</v>
      </c>
      <c r="P299" s="30">
        <v>160.0</v>
      </c>
      <c r="Q299" s="30" t="s">
        <v>221</v>
      </c>
      <c r="R299" s="30" t="s">
        <v>222</v>
      </c>
      <c r="S299" s="30" t="s">
        <v>197</v>
      </c>
      <c r="T299" s="30" t="s">
        <v>1121</v>
      </c>
      <c r="U299" s="30">
        <v>1.5717602E7</v>
      </c>
    </row>
    <row r="300">
      <c r="A300" s="30">
        <v>51.446989</v>
      </c>
      <c r="B300" s="30">
        <v>25.319027</v>
      </c>
      <c r="C300" s="30" t="str">
        <f t="shared" si="1"/>
        <v>51.446989 25.319027</v>
      </c>
      <c r="D300" s="30">
        <v>52.0</v>
      </c>
      <c r="E300" s="36" t="s">
        <v>1113</v>
      </c>
      <c r="F300" s="30" t="s">
        <v>1122</v>
      </c>
      <c r="G300" s="30" t="s">
        <v>190</v>
      </c>
      <c r="H300" s="33">
        <v>46092.0</v>
      </c>
      <c r="I300" s="30">
        <v>1388351.0</v>
      </c>
      <c r="J300" s="30" t="s">
        <v>201</v>
      </c>
      <c r="K300" s="43" t="s">
        <v>202</v>
      </c>
      <c r="L300" s="30" t="s">
        <v>195</v>
      </c>
      <c r="M300" s="30">
        <v>3.0</v>
      </c>
      <c r="N300" s="57" t="s">
        <v>304</v>
      </c>
      <c r="O300" s="30" t="s">
        <v>194</v>
      </c>
      <c r="P300" s="30">
        <v>160.0</v>
      </c>
      <c r="Q300" s="30" t="s">
        <v>221</v>
      </c>
      <c r="R300" s="30" t="s">
        <v>222</v>
      </c>
      <c r="S300" s="30" t="s">
        <v>197</v>
      </c>
      <c r="T300" s="30" t="s">
        <v>1123</v>
      </c>
      <c r="U300" s="30">
        <v>1.5717624E7</v>
      </c>
    </row>
    <row r="301">
      <c r="A301" s="30">
        <v>51.446343</v>
      </c>
      <c r="B301" s="30">
        <v>25.325526</v>
      </c>
      <c r="C301" s="30" t="str">
        <f t="shared" si="1"/>
        <v>51.446343 25.325526</v>
      </c>
      <c r="D301" s="30">
        <v>51.0</v>
      </c>
      <c r="E301" s="36" t="s">
        <v>1124</v>
      </c>
      <c r="F301" s="30" t="s">
        <v>1125</v>
      </c>
      <c r="G301" s="30" t="s">
        <v>190</v>
      </c>
      <c r="H301" s="33">
        <v>46096.0</v>
      </c>
      <c r="I301" s="30">
        <v>1345366.0</v>
      </c>
      <c r="J301" s="30" t="s">
        <v>201</v>
      </c>
      <c r="K301" s="41" t="s">
        <v>202</v>
      </c>
      <c r="L301" s="35"/>
      <c r="M301" s="30">
        <v>3.0</v>
      </c>
      <c r="N301" s="30" t="s">
        <v>1099</v>
      </c>
      <c r="O301" s="30" t="s">
        <v>194</v>
      </c>
      <c r="P301" s="30">
        <v>160.0</v>
      </c>
      <c r="Q301" s="30" t="s">
        <v>221</v>
      </c>
      <c r="R301" s="30" t="s">
        <v>222</v>
      </c>
      <c r="S301" s="30" t="s">
        <v>197</v>
      </c>
      <c r="T301" s="30" t="s">
        <v>1126</v>
      </c>
      <c r="U301" s="30">
        <v>1.5717742E7</v>
      </c>
    </row>
    <row r="302">
      <c r="A302" s="30">
        <v>51.435442</v>
      </c>
      <c r="B302" s="30">
        <v>25.31993</v>
      </c>
      <c r="C302" s="30" t="str">
        <f t="shared" si="1"/>
        <v>51.435442 25.31993</v>
      </c>
      <c r="D302" s="30">
        <v>51.0</v>
      </c>
      <c r="E302" s="36" t="s">
        <v>1127</v>
      </c>
      <c r="F302" s="32" t="s">
        <v>1128</v>
      </c>
      <c r="G302" s="30" t="s">
        <v>190</v>
      </c>
      <c r="H302" s="33">
        <v>46096.0</v>
      </c>
      <c r="I302" s="30">
        <v>1372158.0</v>
      </c>
      <c r="J302" s="30" t="s">
        <v>201</v>
      </c>
      <c r="K302" s="41" t="s">
        <v>202</v>
      </c>
      <c r="L302" s="35"/>
      <c r="M302" s="30">
        <v>3.0</v>
      </c>
      <c r="N302" s="30" t="s">
        <v>1099</v>
      </c>
      <c r="O302" s="30" t="s">
        <v>194</v>
      </c>
      <c r="P302" s="30">
        <v>160.0</v>
      </c>
      <c r="Q302" s="30" t="s">
        <v>221</v>
      </c>
      <c r="R302" s="30" t="s">
        <v>222</v>
      </c>
      <c r="S302" s="30" t="s">
        <v>197</v>
      </c>
      <c r="T302" s="30" t="s">
        <v>1129</v>
      </c>
      <c r="U302" s="30">
        <v>1.5717743E7</v>
      </c>
    </row>
    <row r="303">
      <c r="A303" s="71">
        <v>51.397832</v>
      </c>
      <c r="B303" s="71">
        <v>25.308895</v>
      </c>
      <c r="C303" s="30" t="str">
        <f t="shared" si="1"/>
        <v>51.397832 25.308895</v>
      </c>
      <c r="D303" s="71">
        <v>53.0</v>
      </c>
      <c r="E303" s="72" t="s">
        <v>1130</v>
      </c>
      <c r="F303" s="73" t="s">
        <v>1131</v>
      </c>
      <c r="G303" s="30" t="s">
        <v>190</v>
      </c>
      <c r="H303" s="74">
        <v>46104.0</v>
      </c>
      <c r="I303" s="71">
        <v>1371638.0</v>
      </c>
      <c r="J303" s="30" t="s">
        <v>1132</v>
      </c>
      <c r="K303" s="34" t="s">
        <v>192</v>
      </c>
      <c r="L303" s="35"/>
      <c r="M303" s="30">
        <v>3.0</v>
      </c>
      <c r="N303" s="71" t="s">
        <v>193</v>
      </c>
      <c r="O303" s="71" t="s">
        <v>194</v>
      </c>
      <c r="P303" s="71">
        <v>160.0</v>
      </c>
      <c r="Q303" s="71" t="s">
        <v>221</v>
      </c>
      <c r="R303" s="71" t="s">
        <v>222</v>
      </c>
      <c r="S303" s="71" t="s">
        <v>197</v>
      </c>
      <c r="T303" s="71" t="s">
        <v>1133</v>
      </c>
      <c r="U303" s="71">
        <v>1.5717689E7</v>
      </c>
    </row>
    <row r="304">
      <c r="A304" s="30">
        <v>51.390009</v>
      </c>
      <c r="B304" s="30">
        <v>25.312651</v>
      </c>
      <c r="C304" s="30" t="str">
        <f t="shared" si="1"/>
        <v>51.390009 25.312651</v>
      </c>
      <c r="D304" s="30">
        <v>51.0</v>
      </c>
      <c r="E304" s="36" t="s">
        <v>479</v>
      </c>
      <c r="F304" s="32" t="s">
        <v>1134</v>
      </c>
      <c r="G304" s="30" t="s">
        <v>190</v>
      </c>
      <c r="H304" s="33">
        <v>46096.0</v>
      </c>
      <c r="I304" s="30">
        <v>1400201.0</v>
      </c>
      <c r="J304" s="30" t="s">
        <v>201</v>
      </c>
      <c r="K304" s="34" t="s">
        <v>1135</v>
      </c>
      <c r="L304" s="35"/>
      <c r="M304" s="30">
        <v>3.0</v>
      </c>
      <c r="N304" s="30" t="s">
        <v>304</v>
      </c>
      <c r="O304" s="30" t="s">
        <v>194</v>
      </c>
      <c r="P304" s="30">
        <v>160.0</v>
      </c>
      <c r="Q304" s="30" t="s">
        <v>221</v>
      </c>
      <c r="R304" s="30" t="s">
        <v>222</v>
      </c>
      <c r="S304" s="30" t="s">
        <v>197</v>
      </c>
      <c r="T304" s="30" t="s">
        <v>1136</v>
      </c>
      <c r="U304" s="30">
        <v>1.5717713E7</v>
      </c>
    </row>
    <row r="305">
      <c r="A305" s="71">
        <v>51.44918</v>
      </c>
      <c r="B305" s="71">
        <v>25.338186</v>
      </c>
      <c r="C305" s="30" t="str">
        <f t="shared" si="1"/>
        <v>51.44918 25.338186</v>
      </c>
      <c r="D305" s="71">
        <v>51.0</v>
      </c>
      <c r="E305" s="72" t="s">
        <v>313</v>
      </c>
      <c r="F305" s="73" t="s">
        <v>1137</v>
      </c>
      <c r="G305" s="30" t="s">
        <v>190</v>
      </c>
      <c r="H305" s="74">
        <v>46103.0</v>
      </c>
      <c r="I305" s="71">
        <v>1370501.0</v>
      </c>
      <c r="J305" s="30" t="s">
        <v>1138</v>
      </c>
      <c r="K305" s="34" t="s">
        <v>192</v>
      </c>
      <c r="L305" s="35"/>
      <c r="M305" s="30">
        <v>3.0</v>
      </c>
      <c r="N305" s="71" t="s">
        <v>193</v>
      </c>
      <c r="O305" s="71" t="s">
        <v>194</v>
      </c>
      <c r="P305" s="71">
        <v>160.0</v>
      </c>
      <c r="Q305" s="71" t="s">
        <v>221</v>
      </c>
      <c r="R305" s="71" t="s">
        <v>222</v>
      </c>
      <c r="S305" s="71" t="s">
        <v>197</v>
      </c>
      <c r="T305" s="71" t="s">
        <v>563</v>
      </c>
      <c r="U305" s="71">
        <v>1.5717625E7</v>
      </c>
    </row>
    <row r="306">
      <c r="A306" s="30">
        <v>51.452896</v>
      </c>
      <c r="B306" s="30">
        <v>25.341719</v>
      </c>
      <c r="C306" s="30" t="str">
        <f t="shared" si="1"/>
        <v>51.452896 25.341719</v>
      </c>
      <c r="D306" s="30">
        <v>51.0</v>
      </c>
      <c r="E306" s="36" t="s">
        <v>323</v>
      </c>
      <c r="F306" s="32" t="s">
        <v>1139</v>
      </c>
      <c r="G306" s="30" t="s">
        <v>190</v>
      </c>
      <c r="H306" s="33">
        <v>46099.0</v>
      </c>
      <c r="I306" s="30">
        <v>1389623.0</v>
      </c>
      <c r="J306" s="30" t="s">
        <v>1140</v>
      </c>
      <c r="K306" s="34" t="s">
        <v>291</v>
      </c>
      <c r="L306" s="35"/>
      <c r="M306" s="30">
        <v>3.0</v>
      </c>
      <c r="N306" s="30" t="s">
        <v>193</v>
      </c>
      <c r="O306" s="30" t="s">
        <v>194</v>
      </c>
      <c r="P306" s="30">
        <v>160.0</v>
      </c>
      <c r="Q306" s="30" t="s">
        <v>195</v>
      </c>
      <c r="R306" s="30" t="s">
        <v>196</v>
      </c>
      <c r="S306" s="30" t="s">
        <v>197</v>
      </c>
      <c r="T306" s="30" t="s">
        <v>659</v>
      </c>
      <c r="U306" s="30">
        <v>1.5717714E7</v>
      </c>
    </row>
    <row r="307">
      <c r="A307" s="30">
        <v>51.45794</v>
      </c>
      <c r="B307" s="30">
        <v>25.343788</v>
      </c>
      <c r="C307" s="30" t="str">
        <f t="shared" si="1"/>
        <v>51.45794 25.343788</v>
      </c>
      <c r="D307" s="30">
        <v>51.0</v>
      </c>
      <c r="E307" s="36" t="s">
        <v>1141</v>
      </c>
      <c r="F307" s="32" t="s">
        <v>1142</v>
      </c>
      <c r="G307" s="30" t="s">
        <v>190</v>
      </c>
      <c r="H307" s="42">
        <v>46092.0</v>
      </c>
      <c r="I307" s="30" t="s">
        <v>1143</v>
      </c>
      <c r="J307" s="30" t="s">
        <v>1144</v>
      </c>
      <c r="K307" s="34" t="s">
        <v>202</v>
      </c>
      <c r="L307" s="30" t="s">
        <v>1145</v>
      </c>
      <c r="M307" s="30">
        <v>3.0</v>
      </c>
      <c r="N307" s="30" t="s">
        <v>220</v>
      </c>
      <c r="O307" s="30" t="s">
        <v>194</v>
      </c>
      <c r="P307" s="30">
        <v>160.0</v>
      </c>
      <c r="Q307" s="30" t="s">
        <v>195</v>
      </c>
      <c r="R307" s="30" t="s">
        <v>196</v>
      </c>
      <c r="S307" s="30" t="s">
        <v>197</v>
      </c>
      <c r="T307" s="30" t="s">
        <v>646</v>
      </c>
      <c r="U307" s="30">
        <v>1.5717626E7</v>
      </c>
    </row>
    <row r="308">
      <c r="A308" s="30">
        <v>51.463066</v>
      </c>
      <c r="B308" s="30">
        <v>25.346771</v>
      </c>
      <c r="C308" s="30" t="str">
        <f t="shared" si="1"/>
        <v>51.463066 25.346771</v>
      </c>
      <c r="D308" s="30">
        <v>30.0</v>
      </c>
      <c r="E308" s="36" t="s">
        <v>1146</v>
      </c>
      <c r="F308" s="32" t="s">
        <v>1147</v>
      </c>
      <c r="G308" s="30" t="s">
        <v>190</v>
      </c>
      <c r="H308" s="33">
        <v>46095.0</v>
      </c>
      <c r="I308" s="30" t="s">
        <v>1148</v>
      </c>
      <c r="J308" s="30" t="s">
        <v>1149</v>
      </c>
      <c r="K308" s="37" t="s">
        <v>202</v>
      </c>
      <c r="L308" s="35"/>
      <c r="M308" s="30">
        <v>3.0</v>
      </c>
      <c r="N308" s="30" t="s">
        <v>1099</v>
      </c>
      <c r="O308" s="30" t="s">
        <v>194</v>
      </c>
      <c r="P308" s="30">
        <v>160.0</v>
      </c>
      <c r="Q308" s="30" t="s">
        <v>195</v>
      </c>
      <c r="R308" s="30" t="s">
        <v>196</v>
      </c>
      <c r="S308" s="30" t="s">
        <v>197</v>
      </c>
      <c r="T308" s="30" t="s">
        <v>566</v>
      </c>
      <c r="U308" s="30">
        <v>1.571769E7</v>
      </c>
    </row>
    <row r="309">
      <c r="A309" s="30">
        <v>51.460012</v>
      </c>
      <c r="B309" s="30">
        <v>25.341575</v>
      </c>
      <c r="C309" s="30" t="str">
        <f t="shared" si="1"/>
        <v>51.460012 25.341575</v>
      </c>
      <c r="D309" s="30">
        <v>31.0</v>
      </c>
      <c r="E309" s="36" t="s">
        <v>1150</v>
      </c>
      <c r="F309" s="32" t="s">
        <v>1151</v>
      </c>
      <c r="G309" s="30" t="s">
        <v>190</v>
      </c>
      <c r="H309" s="42">
        <v>46092.0</v>
      </c>
      <c r="I309" s="30" t="s">
        <v>1152</v>
      </c>
      <c r="J309" s="30" t="s">
        <v>1153</v>
      </c>
      <c r="K309" s="34" t="s">
        <v>202</v>
      </c>
      <c r="L309" s="30" t="s">
        <v>1154</v>
      </c>
      <c r="M309" s="30">
        <v>3.0</v>
      </c>
      <c r="N309" s="30" t="s">
        <v>220</v>
      </c>
      <c r="O309" s="30" t="s">
        <v>194</v>
      </c>
      <c r="P309" s="30">
        <v>160.0</v>
      </c>
      <c r="Q309" s="30" t="s">
        <v>195</v>
      </c>
      <c r="R309" s="30" t="s">
        <v>196</v>
      </c>
      <c r="S309" s="30" t="s">
        <v>197</v>
      </c>
      <c r="T309" s="30" t="s">
        <v>647</v>
      </c>
      <c r="U309" s="30">
        <v>1.5717715E7</v>
      </c>
    </row>
    <row r="310">
      <c r="A310" s="30">
        <v>51.483586</v>
      </c>
      <c r="B310" s="30">
        <v>25.204035</v>
      </c>
      <c r="C310" s="30" t="str">
        <f t="shared" si="1"/>
        <v>51.483586 25.204035</v>
      </c>
      <c r="D310" s="30">
        <v>56.0</v>
      </c>
      <c r="E310" s="39" t="s">
        <v>1155</v>
      </c>
      <c r="F310" s="54" t="s">
        <v>1156</v>
      </c>
      <c r="G310" s="34" t="s">
        <v>190</v>
      </c>
      <c r="H310" s="55">
        <v>46087.0</v>
      </c>
      <c r="I310" s="37">
        <v>1263763.0</v>
      </c>
      <c r="J310" s="30" t="s">
        <v>201</v>
      </c>
      <c r="K310" s="43" t="s">
        <v>202</v>
      </c>
      <c r="L310" s="34" t="s">
        <v>195</v>
      </c>
      <c r="M310" s="30">
        <v>3.0</v>
      </c>
      <c r="N310" s="30" t="s">
        <v>356</v>
      </c>
      <c r="O310" s="30" t="s">
        <v>194</v>
      </c>
      <c r="P310" s="30">
        <v>160.0</v>
      </c>
      <c r="Q310" s="30" t="s">
        <v>221</v>
      </c>
      <c r="R310" s="30" t="s">
        <v>222</v>
      </c>
      <c r="S310" s="30" t="s">
        <v>197</v>
      </c>
      <c r="T310" s="30" t="s">
        <v>1157</v>
      </c>
      <c r="U310" s="30">
        <v>1.5717604E7</v>
      </c>
    </row>
    <row r="311">
      <c r="A311" s="30">
        <v>51.458874</v>
      </c>
      <c r="B311" s="30">
        <v>25.341757</v>
      </c>
      <c r="C311" s="30" t="str">
        <f t="shared" si="1"/>
        <v>51.458874 25.341757</v>
      </c>
      <c r="D311" s="30">
        <v>51.0</v>
      </c>
      <c r="E311" s="36" t="s">
        <v>1158</v>
      </c>
      <c r="F311" s="32" t="s">
        <v>1159</v>
      </c>
      <c r="G311" s="30" t="s">
        <v>190</v>
      </c>
      <c r="H311" s="42">
        <v>46092.0</v>
      </c>
      <c r="I311" s="30" t="s">
        <v>1160</v>
      </c>
      <c r="J311" s="30" t="s">
        <v>1144</v>
      </c>
      <c r="K311" s="34" t="s">
        <v>202</v>
      </c>
      <c r="L311" s="30" t="s">
        <v>1145</v>
      </c>
      <c r="M311" s="30">
        <v>3.0</v>
      </c>
      <c r="N311" s="30" t="s">
        <v>220</v>
      </c>
      <c r="O311" s="30" t="s">
        <v>194</v>
      </c>
      <c r="P311" s="30">
        <v>160.0</v>
      </c>
      <c r="Q311" s="30" t="s">
        <v>195</v>
      </c>
      <c r="R311" s="30" t="s">
        <v>196</v>
      </c>
      <c r="S311" s="30" t="s">
        <v>197</v>
      </c>
      <c r="T311" s="30" t="s">
        <v>654</v>
      </c>
      <c r="U311" s="30">
        <v>1.5717603E7</v>
      </c>
    </row>
    <row r="312">
      <c r="A312" s="30">
        <v>51.455162</v>
      </c>
      <c r="B312" s="30">
        <v>25.349323</v>
      </c>
      <c r="C312" s="30" t="str">
        <f t="shared" si="1"/>
        <v>51.455162 25.349323</v>
      </c>
      <c r="D312" s="30">
        <v>51.0</v>
      </c>
      <c r="E312" s="36" t="s">
        <v>260</v>
      </c>
      <c r="F312" s="40" t="s">
        <v>201</v>
      </c>
      <c r="G312" s="30" t="s">
        <v>190</v>
      </c>
      <c r="H312" s="33">
        <v>46095.0</v>
      </c>
      <c r="I312" s="30">
        <v>1370513.0</v>
      </c>
      <c r="J312" s="30" t="s">
        <v>201</v>
      </c>
      <c r="K312" s="37" t="s">
        <v>202</v>
      </c>
      <c r="L312" s="35"/>
      <c r="M312" s="30">
        <v>3.0</v>
      </c>
      <c r="N312" s="30" t="s">
        <v>1099</v>
      </c>
      <c r="O312" s="30" t="s">
        <v>194</v>
      </c>
      <c r="P312" s="30">
        <v>160.0</v>
      </c>
      <c r="Q312" s="30" t="s">
        <v>221</v>
      </c>
      <c r="R312" s="30" t="s">
        <v>222</v>
      </c>
      <c r="S312" s="30" t="s">
        <v>197</v>
      </c>
      <c r="T312" s="30" t="s">
        <v>661</v>
      </c>
      <c r="U312" s="30">
        <v>1.5717716E7</v>
      </c>
    </row>
    <row r="313">
      <c r="A313" s="30">
        <v>51.48552</v>
      </c>
      <c r="B313" s="30">
        <v>25.205619</v>
      </c>
      <c r="C313" s="30" t="str">
        <f t="shared" si="1"/>
        <v>51.48552 25.205619</v>
      </c>
      <c r="D313" s="30">
        <v>56.0</v>
      </c>
      <c r="E313" s="36" t="s">
        <v>1161</v>
      </c>
      <c r="F313" s="32" t="s">
        <v>1162</v>
      </c>
      <c r="G313" s="30" t="s">
        <v>190</v>
      </c>
      <c r="H313" s="33">
        <v>46084.0</v>
      </c>
      <c r="I313" s="30">
        <v>1276494.0</v>
      </c>
      <c r="J313" s="30" t="s">
        <v>201</v>
      </c>
      <c r="K313" s="34" t="s">
        <v>291</v>
      </c>
      <c r="L313" s="30" t="s">
        <v>195</v>
      </c>
      <c r="M313" s="30">
        <v>3.0</v>
      </c>
      <c r="N313" s="57" t="s">
        <v>304</v>
      </c>
      <c r="O313" s="30" t="s">
        <v>194</v>
      </c>
      <c r="P313" s="30">
        <v>160.0</v>
      </c>
      <c r="Q313" s="30" t="s">
        <v>195</v>
      </c>
      <c r="R313" s="30" t="s">
        <v>222</v>
      </c>
      <c r="S313" s="30" t="s">
        <v>197</v>
      </c>
      <c r="T313" s="30" t="s">
        <v>1163</v>
      </c>
      <c r="U313" s="30">
        <v>1.5717744E7</v>
      </c>
    </row>
    <row r="314">
      <c r="A314" s="30">
        <v>51.490602</v>
      </c>
      <c r="B314" s="30">
        <v>25.207755</v>
      </c>
      <c r="C314" s="30" t="str">
        <f t="shared" si="1"/>
        <v>51.490602 25.207755</v>
      </c>
      <c r="D314" s="30">
        <v>56.0</v>
      </c>
      <c r="E314" s="36" t="s">
        <v>1164</v>
      </c>
      <c r="F314" s="32" t="s">
        <v>1165</v>
      </c>
      <c r="G314" s="30" t="s">
        <v>190</v>
      </c>
      <c r="H314" s="33">
        <v>46092.0</v>
      </c>
      <c r="I314" s="30">
        <v>1278486.0</v>
      </c>
      <c r="J314" s="30" t="s">
        <v>1166</v>
      </c>
      <c r="K314" s="34" t="s">
        <v>252</v>
      </c>
      <c r="L314" s="30" t="s">
        <v>195</v>
      </c>
      <c r="M314" s="30">
        <v>3.0</v>
      </c>
      <c r="N314" s="57" t="s">
        <v>304</v>
      </c>
      <c r="O314" s="30" t="s">
        <v>194</v>
      </c>
      <c r="P314" s="30">
        <v>160.0</v>
      </c>
      <c r="Q314" s="30" t="s">
        <v>195</v>
      </c>
      <c r="R314" s="30" t="s">
        <v>222</v>
      </c>
      <c r="S314" s="30" t="s">
        <v>197</v>
      </c>
      <c r="T314" s="30" t="s">
        <v>1167</v>
      </c>
      <c r="U314" s="30">
        <v>1.5717646E7</v>
      </c>
    </row>
    <row r="315">
      <c r="A315" s="30">
        <v>51.46659</v>
      </c>
      <c r="B315" s="30">
        <v>25.197663</v>
      </c>
      <c r="C315" s="30" t="str">
        <f t="shared" si="1"/>
        <v>51.46659 25.197663</v>
      </c>
      <c r="D315" s="30">
        <v>56.0</v>
      </c>
      <c r="E315" s="36" t="s">
        <v>367</v>
      </c>
      <c r="F315" s="32" t="s">
        <v>1168</v>
      </c>
      <c r="G315" s="30" t="s">
        <v>190</v>
      </c>
      <c r="H315" s="33">
        <v>46093.0</v>
      </c>
      <c r="I315" s="30">
        <v>1263758.0</v>
      </c>
      <c r="J315" s="32" t="s">
        <v>1169</v>
      </c>
      <c r="K315" s="43" t="s">
        <v>202</v>
      </c>
      <c r="L315" s="34" t="s">
        <v>195</v>
      </c>
      <c r="M315" s="30">
        <v>4.0</v>
      </c>
      <c r="N315" s="30" t="s">
        <v>356</v>
      </c>
      <c r="O315" s="30" t="s">
        <v>194</v>
      </c>
      <c r="P315" s="30">
        <v>160.0</v>
      </c>
      <c r="Q315" s="30" t="s">
        <v>221</v>
      </c>
      <c r="R315" s="30" t="s">
        <v>222</v>
      </c>
      <c r="S315" s="30" t="s">
        <v>197</v>
      </c>
      <c r="T315" s="30" t="s">
        <v>1170</v>
      </c>
      <c r="U315" s="30">
        <v>1.5717745E7</v>
      </c>
    </row>
    <row r="316">
      <c r="A316" s="30">
        <v>51.47523</v>
      </c>
      <c r="B316" s="30">
        <v>25.201589</v>
      </c>
      <c r="C316" s="30" t="str">
        <f t="shared" si="1"/>
        <v>51.47523 25.201589</v>
      </c>
      <c r="D316" s="30">
        <v>56.0</v>
      </c>
      <c r="E316" s="36" t="s">
        <v>1171</v>
      </c>
      <c r="F316" s="32" t="s">
        <v>285</v>
      </c>
      <c r="G316" s="30" t="s">
        <v>190</v>
      </c>
      <c r="H316" s="33">
        <v>46093.0</v>
      </c>
      <c r="I316" s="30">
        <v>1275853.0</v>
      </c>
      <c r="J316" s="30" t="s">
        <v>1172</v>
      </c>
      <c r="K316" s="43" t="s">
        <v>202</v>
      </c>
      <c r="L316" s="34" t="s">
        <v>195</v>
      </c>
      <c r="M316" s="30">
        <v>4.0</v>
      </c>
      <c r="N316" s="30" t="s">
        <v>356</v>
      </c>
      <c r="O316" s="30" t="s">
        <v>194</v>
      </c>
      <c r="P316" s="30">
        <v>160.0</v>
      </c>
      <c r="Q316" s="30" t="s">
        <v>221</v>
      </c>
      <c r="R316" s="30" t="s">
        <v>222</v>
      </c>
      <c r="S316" s="30" t="s">
        <v>197</v>
      </c>
      <c r="T316" s="30" t="s">
        <v>1173</v>
      </c>
      <c r="U316" s="30">
        <v>1.5717627E7</v>
      </c>
    </row>
    <row r="317">
      <c r="A317" s="30">
        <v>51.476089</v>
      </c>
      <c r="B317" s="30">
        <v>25.201842</v>
      </c>
      <c r="C317" s="30" t="str">
        <f t="shared" si="1"/>
        <v>51.476089 25.201842</v>
      </c>
      <c r="D317" s="30">
        <v>56.0</v>
      </c>
      <c r="E317" s="36" t="s">
        <v>1174</v>
      </c>
      <c r="F317" s="32" t="s">
        <v>1175</v>
      </c>
      <c r="G317" s="30" t="s">
        <v>190</v>
      </c>
      <c r="H317" s="33">
        <v>46092.0</v>
      </c>
      <c r="I317" s="30">
        <v>1276493.0</v>
      </c>
      <c r="J317" s="30" t="s">
        <v>201</v>
      </c>
      <c r="K317" s="34" t="s">
        <v>291</v>
      </c>
      <c r="L317" s="30" t="s">
        <v>195</v>
      </c>
      <c r="M317" s="30">
        <v>3.0</v>
      </c>
      <c r="N317" s="57" t="s">
        <v>304</v>
      </c>
      <c r="O317" s="30" t="s">
        <v>194</v>
      </c>
      <c r="P317" s="30">
        <v>160.0</v>
      </c>
      <c r="Q317" s="30" t="s">
        <v>195</v>
      </c>
      <c r="R317" s="30" t="s">
        <v>222</v>
      </c>
      <c r="S317" s="30" t="s">
        <v>197</v>
      </c>
      <c r="T317" s="30" t="s">
        <v>1176</v>
      </c>
      <c r="U317" s="30">
        <v>1.5717691E7</v>
      </c>
    </row>
    <row r="318">
      <c r="A318" s="30">
        <v>51.477798</v>
      </c>
      <c r="B318" s="30">
        <v>25.202469</v>
      </c>
      <c r="C318" s="30" t="str">
        <f t="shared" si="1"/>
        <v>51.477798 25.202469</v>
      </c>
      <c r="D318" s="30">
        <v>56.0</v>
      </c>
      <c r="E318" s="36" t="s">
        <v>1177</v>
      </c>
      <c r="F318" s="32" t="s">
        <v>1178</v>
      </c>
      <c r="G318" s="30" t="s">
        <v>190</v>
      </c>
      <c r="H318" s="33">
        <v>46092.0</v>
      </c>
      <c r="I318" s="30">
        <v>1276492.0</v>
      </c>
      <c r="J318" s="30" t="s">
        <v>1166</v>
      </c>
      <c r="K318" s="34" t="s">
        <v>291</v>
      </c>
      <c r="L318" s="30" t="s">
        <v>195</v>
      </c>
      <c r="M318" s="30">
        <v>4.0</v>
      </c>
      <c r="N318" s="57" t="s">
        <v>304</v>
      </c>
      <c r="O318" s="30" t="s">
        <v>194</v>
      </c>
      <c r="P318" s="30">
        <v>160.0</v>
      </c>
      <c r="Q318" s="30" t="s">
        <v>195</v>
      </c>
      <c r="R318" s="30" t="s">
        <v>222</v>
      </c>
      <c r="S318" s="30" t="s">
        <v>197</v>
      </c>
      <c r="T318" s="30" t="s">
        <v>1179</v>
      </c>
      <c r="U318" s="30">
        <v>1.5717692E7</v>
      </c>
    </row>
    <row r="319">
      <c r="A319" s="30">
        <v>51.488666</v>
      </c>
      <c r="B319" s="30">
        <v>25.206181</v>
      </c>
      <c r="C319" s="30" t="str">
        <f t="shared" si="1"/>
        <v>51.488666 25.206181</v>
      </c>
      <c r="D319" s="30">
        <v>56.0</v>
      </c>
      <c r="E319" s="39" t="s">
        <v>1180</v>
      </c>
      <c r="F319" s="54" t="s">
        <v>1181</v>
      </c>
      <c r="G319" s="34" t="s">
        <v>190</v>
      </c>
      <c r="H319" s="55">
        <v>46087.0</v>
      </c>
      <c r="I319" s="37">
        <v>1263756.0</v>
      </c>
      <c r="J319" s="30" t="s">
        <v>201</v>
      </c>
      <c r="K319" s="43" t="s">
        <v>202</v>
      </c>
      <c r="L319" s="34" t="s">
        <v>195</v>
      </c>
      <c r="M319" s="30">
        <v>3.0</v>
      </c>
      <c r="N319" s="30" t="s">
        <v>356</v>
      </c>
      <c r="O319" s="30" t="s">
        <v>194</v>
      </c>
      <c r="P319" s="30">
        <v>160.0</v>
      </c>
      <c r="Q319" s="30" t="s">
        <v>221</v>
      </c>
      <c r="R319" s="30" t="s">
        <v>222</v>
      </c>
      <c r="S319" s="30" t="s">
        <v>197</v>
      </c>
      <c r="T319" s="30" t="s">
        <v>1182</v>
      </c>
      <c r="U319" s="30">
        <v>1.5717605E7</v>
      </c>
    </row>
    <row r="320">
      <c r="A320" s="30">
        <v>51.475553</v>
      </c>
      <c r="B320" s="30">
        <v>25.200324</v>
      </c>
      <c r="C320" s="30" t="str">
        <f t="shared" si="1"/>
        <v>51.475553 25.200324</v>
      </c>
      <c r="D320" s="30">
        <v>56.0</v>
      </c>
      <c r="E320" s="39" t="s">
        <v>228</v>
      </c>
      <c r="F320" s="54" t="s">
        <v>1183</v>
      </c>
      <c r="G320" s="34" t="s">
        <v>190</v>
      </c>
      <c r="H320" s="55">
        <v>46087.0</v>
      </c>
      <c r="I320" s="37">
        <v>1276488.0</v>
      </c>
      <c r="J320" s="30" t="s">
        <v>201</v>
      </c>
      <c r="K320" s="43" t="s">
        <v>202</v>
      </c>
      <c r="L320" s="34" t="s">
        <v>195</v>
      </c>
      <c r="M320" s="30">
        <v>3.0</v>
      </c>
      <c r="N320" s="30" t="s">
        <v>356</v>
      </c>
      <c r="O320" s="30" t="s">
        <v>194</v>
      </c>
      <c r="P320" s="30">
        <v>160.0</v>
      </c>
      <c r="Q320" s="30" t="s">
        <v>221</v>
      </c>
      <c r="R320" s="30" t="s">
        <v>222</v>
      </c>
      <c r="S320" s="30" t="s">
        <v>197</v>
      </c>
      <c r="T320" s="30" t="s">
        <v>1184</v>
      </c>
      <c r="U320" s="30">
        <v>1.5717606E7</v>
      </c>
    </row>
    <row r="321">
      <c r="A321" s="30">
        <v>51.481374</v>
      </c>
      <c r="B321" s="30">
        <v>25.203946</v>
      </c>
      <c r="C321" s="30" t="str">
        <f t="shared" si="1"/>
        <v>51.481374 25.203946</v>
      </c>
      <c r="D321" s="30">
        <v>56.0</v>
      </c>
      <c r="E321" s="36" t="s">
        <v>1161</v>
      </c>
      <c r="F321" s="32" t="s">
        <v>1162</v>
      </c>
      <c r="G321" s="30" t="s">
        <v>190</v>
      </c>
      <c r="H321" s="33">
        <v>46092.0</v>
      </c>
      <c r="I321" s="30">
        <v>1276494.0</v>
      </c>
      <c r="J321" s="30" t="s">
        <v>201</v>
      </c>
      <c r="K321" s="34" t="s">
        <v>291</v>
      </c>
      <c r="L321" s="30" t="s">
        <v>195</v>
      </c>
      <c r="M321" s="30">
        <v>3.0</v>
      </c>
      <c r="N321" s="57" t="s">
        <v>304</v>
      </c>
      <c r="O321" s="30" t="s">
        <v>194</v>
      </c>
      <c r="P321" s="30">
        <v>160.0</v>
      </c>
      <c r="Q321" s="30" t="s">
        <v>221</v>
      </c>
      <c r="R321" s="30" t="s">
        <v>222</v>
      </c>
      <c r="S321" s="30" t="s">
        <v>197</v>
      </c>
      <c r="T321" s="30" t="s">
        <v>1185</v>
      </c>
      <c r="U321" s="30">
        <v>1.5717662E7</v>
      </c>
    </row>
    <row r="322">
      <c r="A322" s="30">
        <v>51.454296</v>
      </c>
      <c r="B322" s="30">
        <v>25.192643</v>
      </c>
      <c r="C322" s="30" t="str">
        <f t="shared" si="1"/>
        <v>51.454296 25.192643</v>
      </c>
      <c r="D322" s="30">
        <v>57.0</v>
      </c>
      <c r="E322" s="36" t="s">
        <v>1186</v>
      </c>
      <c r="F322" s="32" t="s">
        <v>1187</v>
      </c>
      <c r="G322" s="30" t="s">
        <v>190</v>
      </c>
      <c r="H322" s="33">
        <v>46098.0</v>
      </c>
      <c r="I322" s="30">
        <v>1276932.0</v>
      </c>
      <c r="J322" s="30" t="s">
        <v>1188</v>
      </c>
      <c r="K322" s="37" t="s">
        <v>202</v>
      </c>
      <c r="L322" s="35"/>
      <c r="M322" s="30">
        <v>3.0</v>
      </c>
      <c r="N322" s="30" t="s">
        <v>216</v>
      </c>
      <c r="O322" s="30" t="s">
        <v>194</v>
      </c>
      <c r="P322" s="30">
        <v>160.0</v>
      </c>
      <c r="Q322" s="30" t="s">
        <v>221</v>
      </c>
      <c r="R322" s="30" t="s">
        <v>222</v>
      </c>
      <c r="S322" s="30" t="s">
        <v>197</v>
      </c>
      <c r="T322" s="30" t="s">
        <v>1189</v>
      </c>
      <c r="U322" s="30">
        <v>1.5717746E7</v>
      </c>
    </row>
    <row r="323">
      <c r="A323" s="30">
        <v>51.462351</v>
      </c>
      <c r="B323" s="30">
        <v>25.195934</v>
      </c>
      <c r="C323" s="30" t="str">
        <f t="shared" si="1"/>
        <v>51.462351 25.195934</v>
      </c>
      <c r="D323" s="30">
        <v>56.0</v>
      </c>
      <c r="E323" s="36" t="s">
        <v>499</v>
      </c>
      <c r="F323" s="32" t="s">
        <v>1190</v>
      </c>
      <c r="G323" s="30" t="s">
        <v>190</v>
      </c>
      <c r="H323" s="33">
        <v>46093.0</v>
      </c>
      <c r="I323" s="30">
        <v>1263759.0</v>
      </c>
      <c r="J323" s="30" t="s">
        <v>569</v>
      </c>
      <c r="K323" s="43" t="s">
        <v>202</v>
      </c>
      <c r="L323" s="34" t="s">
        <v>195</v>
      </c>
      <c r="M323" s="30">
        <v>4.0</v>
      </c>
      <c r="N323" s="30" t="s">
        <v>356</v>
      </c>
      <c r="O323" s="30" t="s">
        <v>194</v>
      </c>
      <c r="P323" s="30">
        <v>160.0</v>
      </c>
      <c r="Q323" s="30" t="s">
        <v>221</v>
      </c>
      <c r="R323" s="30" t="s">
        <v>222</v>
      </c>
      <c r="S323" s="30" t="s">
        <v>197</v>
      </c>
      <c r="T323" s="30" t="s">
        <v>1191</v>
      </c>
      <c r="U323" s="30">
        <v>1.5717693E7</v>
      </c>
    </row>
    <row r="324">
      <c r="A324" s="30">
        <v>51.461983</v>
      </c>
      <c r="B324" s="30">
        <v>25.194976</v>
      </c>
      <c r="C324" s="30" t="str">
        <f t="shared" si="1"/>
        <v>51.461983 25.194976</v>
      </c>
      <c r="D324" s="30">
        <v>57.0</v>
      </c>
      <c r="E324" s="39" t="s">
        <v>1192</v>
      </c>
      <c r="F324" s="54" t="s">
        <v>1193</v>
      </c>
      <c r="G324" s="34" t="s">
        <v>190</v>
      </c>
      <c r="H324" s="33">
        <v>46084.0</v>
      </c>
      <c r="I324" s="34">
        <v>1263746.0</v>
      </c>
      <c r="J324" s="30" t="s">
        <v>201</v>
      </c>
      <c r="K324" s="43" t="s">
        <v>202</v>
      </c>
      <c r="L324" s="34" t="s">
        <v>195</v>
      </c>
      <c r="M324" s="30">
        <v>3.0</v>
      </c>
      <c r="N324" s="30" t="s">
        <v>356</v>
      </c>
      <c r="O324" s="30" t="s">
        <v>194</v>
      </c>
      <c r="P324" s="30">
        <v>160.0</v>
      </c>
      <c r="Q324" s="30" t="s">
        <v>221</v>
      </c>
      <c r="R324" s="30" t="s">
        <v>222</v>
      </c>
      <c r="S324" s="30" t="s">
        <v>197</v>
      </c>
      <c r="T324" s="30" t="s">
        <v>1194</v>
      </c>
      <c r="U324" s="30">
        <v>1.5717765E7</v>
      </c>
    </row>
    <row r="325">
      <c r="A325" s="30">
        <v>51.45603</v>
      </c>
      <c r="B325" s="30">
        <v>25.1923</v>
      </c>
      <c r="C325" s="30" t="str">
        <f t="shared" si="1"/>
        <v>51.45603 25.1923</v>
      </c>
      <c r="D325" s="30">
        <v>56.0</v>
      </c>
      <c r="E325" s="36" t="s">
        <v>1195</v>
      </c>
      <c r="F325" s="40" t="s">
        <v>201</v>
      </c>
      <c r="G325" s="30" t="s">
        <v>190</v>
      </c>
      <c r="H325" s="33">
        <v>46077.0</v>
      </c>
      <c r="I325" s="30" t="s">
        <v>201</v>
      </c>
      <c r="J325" s="30" t="s">
        <v>460</v>
      </c>
      <c r="K325" s="43" t="s">
        <v>202</v>
      </c>
      <c r="L325" s="34" t="s">
        <v>195</v>
      </c>
      <c r="M325" s="30">
        <v>3.0</v>
      </c>
      <c r="N325" s="30" t="s">
        <v>356</v>
      </c>
      <c r="O325" s="30" t="s">
        <v>194</v>
      </c>
      <c r="P325" s="30">
        <v>160.0</v>
      </c>
      <c r="Q325" s="30" t="s">
        <v>195</v>
      </c>
      <c r="R325" s="30" t="s">
        <v>1062</v>
      </c>
      <c r="S325" s="30" t="s">
        <v>197</v>
      </c>
      <c r="T325" s="30" t="s">
        <v>1196</v>
      </c>
      <c r="U325" s="30">
        <v>1.5717766E7</v>
      </c>
    </row>
    <row r="326">
      <c r="A326" s="30">
        <v>51.452866</v>
      </c>
      <c r="B326" s="30">
        <v>25.195194</v>
      </c>
      <c r="C326" s="30" t="str">
        <f t="shared" si="1"/>
        <v>51.452866 25.195194</v>
      </c>
      <c r="D326" s="30">
        <v>57.0</v>
      </c>
      <c r="E326" s="36" t="s">
        <v>1197</v>
      </c>
      <c r="F326" s="32" t="s">
        <v>1198</v>
      </c>
      <c r="G326" s="30" t="s">
        <v>190</v>
      </c>
      <c r="H326" s="33">
        <v>46099.0</v>
      </c>
      <c r="I326" s="30" t="s">
        <v>201</v>
      </c>
      <c r="J326" s="30" t="s">
        <v>1199</v>
      </c>
      <c r="K326" s="43" t="s">
        <v>202</v>
      </c>
      <c r="L326" s="34" t="s">
        <v>195</v>
      </c>
      <c r="M326" s="30">
        <v>3.0</v>
      </c>
      <c r="N326" s="30" t="s">
        <v>216</v>
      </c>
      <c r="O326" s="30" t="s">
        <v>194</v>
      </c>
      <c r="P326" s="30">
        <v>160.0</v>
      </c>
      <c r="Q326" s="30" t="s">
        <v>221</v>
      </c>
      <c r="R326" s="30" t="s">
        <v>222</v>
      </c>
      <c r="S326" s="30" t="s">
        <v>197</v>
      </c>
      <c r="T326" s="30" t="s">
        <v>1200</v>
      </c>
      <c r="U326" s="30">
        <v>1.5717628E7</v>
      </c>
    </row>
    <row r="327">
      <c r="A327" s="30">
        <v>51.454538</v>
      </c>
      <c r="B327" s="30">
        <v>25.191596</v>
      </c>
      <c r="C327" s="30" t="str">
        <f t="shared" si="1"/>
        <v>51.454538 25.191596</v>
      </c>
      <c r="D327" s="30">
        <v>57.0</v>
      </c>
      <c r="E327" s="36" t="s">
        <v>679</v>
      </c>
      <c r="F327" s="32" t="s">
        <v>1201</v>
      </c>
      <c r="G327" s="30" t="s">
        <v>190</v>
      </c>
      <c r="H327" s="33">
        <v>46099.0</v>
      </c>
      <c r="I327" s="30" t="s">
        <v>1202</v>
      </c>
      <c r="J327" s="30" t="s">
        <v>1203</v>
      </c>
      <c r="K327" s="43" t="s">
        <v>202</v>
      </c>
      <c r="L327" s="34" t="s">
        <v>195</v>
      </c>
      <c r="M327" s="30">
        <v>3.0</v>
      </c>
      <c r="N327" s="30" t="s">
        <v>216</v>
      </c>
      <c r="O327" s="30" t="s">
        <v>194</v>
      </c>
      <c r="P327" s="30">
        <v>160.0</v>
      </c>
      <c r="Q327" s="30" t="s">
        <v>221</v>
      </c>
      <c r="R327" s="30" t="s">
        <v>222</v>
      </c>
      <c r="S327" s="30" t="s">
        <v>197</v>
      </c>
      <c r="T327" s="30" t="s">
        <v>1204</v>
      </c>
      <c r="U327" s="30">
        <v>1.5717607E7</v>
      </c>
    </row>
    <row r="328">
      <c r="A328" s="30">
        <v>51.457763</v>
      </c>
      <c r="B328" s="30">
        <v>25.189742</v>
      </c>
      <c r="C328" s="30" t="str">
        <f t="shared" si="1"/>
        <v>51.457763 25.189742</v>
      </c>
      <c r="D328" s="30">
        <v>56.0</v>
      </c>
      <c r="E328" s="36" t="s">
        <v>1205</v>
      </c>
      <c r="F328" s="32" t="s">
        <v>1206</v>
      </c>
      <c r="G328" s="30" t="s">
        <v>190</v>
      </c>
      <c r="H328" s="33">
        <v>46092.0</v>
      </c>
      <c r="I328" s="30" t="s">
        <v>1207</v>
      </c>
      <c r="J328" s="78" t="s">
        <v>1208</v>
      </c>
      <c r="K328" s="34" t="s">
        <v>272</v>
      </c>
      <c r="L328" s="30" t="s">
        <v>1209</v>
      </c>
      <c r="M328" s="30">
        <v>4.0</v>
      </c>
      <c r="N328" s="30" t="s">
        <v>216</v>
      </c>
      <c r="O328" s="30" t="s">
        <v>194</v>
      </c>
      <c r="P328" s="30">
        <v>160.0</v>
      </c>
      <c r="Q328" s="30" t="s">
        <v>195</v>
      </c>
      <c r="R328" s="30" t="s">
        <v>222</v>
      </c>
      <c r="S328" s="30" t="s">
        <v>197</v>
      </c>
      <c r="T328" s="30" t="s">
        <v>1210</v>
      </c>
      <c r="U328" s="30">
        <v>1.5717664E7</v>
      </c>
    </row>
    <row r="329">
      <c r="A329" s="30">
        <v>51.493392</v>
      </c>
      <c r="B329" s="30">
        <v>25.208975</v>
      </c>
      <c r="C329" s="30" t="str">
        <f t="shared" si="1"/>
        <v>51.493392 25.208975</v>
      </c>
      <c r="D329" s="30">
        <v>56.0</v>
      </c>
      <c r="E329" s="36" t="s">
        <v>1211</v>
      </c>
      <c r="F329" s="32" t="s">
        <v>1212</v>
      </c>
      <c r="G329" s="30" t="s">
        <v>190</v>
      </c>
      <c r="H329" s="33">
        <v>46092.0</v>
      </c>
      <c r="I329" s="30">
        <v>1275855.0</v>
      </c>
      <c r="J329" s="30" t="s">
        <v>1213</v>
      </c>
      <c r="K329" s="34" t="s">
        <v>291</v>
      </c>
      <c r="L329" s="30" t="s">
        <v>195</v>
      </c>
      <c r="M329" s="30">
        <v>3.0</v>
      </c>
      <c r="N329" s="57" t="s">
        <v>304</v>
      </c>
      <c r="O329" s="30" t="s">
        <v>194</v>
      </c>
      <c r="P329" s="30">
        <v>160.0</v>
      </c>
      <c r="Q329" s="30" t="s">
        <v>195</v>
      </c>
      <c r="R329" s="30" t="s">
        <v>222</v>
      </c>
      <c r="S329" s="30" t="s">
        <v>197</v>
      </c>
      <c r="T329" s="30" t="s">
        <v>1214</v>
      </c>
      <c r="U329" s="30">
        <v>1.5717665E7</v>
      </c>
    </row>
    <row r="330">
      <c r="A330" s="30">
        <v>51.471955</v>
      </c>
      <c r="B330" s="30">
        <v>25.198951</v>
      </c>
      <c r="C330" s="30" t="str">
        <f t="shared" si="1"/>
        <v>51.471955 25.198951</v>
      </c>
      <c r="D330" s="30">
        <v>56.0</v>
      </c>
      <c r="E330" s="39" t="s">
        <v>1215</v>
      </c>
      <c r="F330" s="54" t="s">
        <v>1216</v>
      </c>
      <c r="G330" s="34" t="s">
        <v>190</v>
      </c>
      <c r="H330" s="55">
        <v>46086.0</v>
      </c>
      <c r="I330" s="37">
        <v>1263757.0</v>
      </c>
      <c r="J330" s="30" t="s">
        <v>201</v>
      </c>
      <c r="K330" s="43" t="s">
        <v>202</v>
      </c>
      <c r="L330" s="34" t="s">
        <v>195</v>
      </c>
      <c r="M330" s="30">
        <v>3.0</v>
      </c>
      <c r="N330" s="30" t="s">
        <v>356</v>
      </c>
      <c r="O330" s="30" t="s">
        <v>194</v>
      </c>
      <c r="P330" s="30">
        <v>160.0</v>
      </c>
      <c r="Q330" s="30" t="s">
        <v>221</v>
      </c>
      <c r="R330" s="30" t="s">
        <v>222</v>
      </c>
      <c r="S330" s="30" t="s">
        <v>197</v>
      </c>
      <c r="T330" s="30" t="s">
        <v>1217</v>
      </c>
      <c r="U330" s="30">
        <v>1.5717663E7</v>
      </c>
    </row>
    <row r="331">
      <c r="A331" s="30">
        <v>51.471359</v>
      </c>
      <c r="B331" s="30">
        <v>25.199727</v>
      </c>
      <c r="C331" s="30" t="str">
        <f t="shared" si="1"/>
        <v>51.471359 25.199727</v>
      </c>
      <c r="D331" s="30">
        <v>56.0</v>
      </c>
      <c r="E331" s="36" t="s">
        <v>208</v>
      </c>
      <c r="F331" s="32" t="s">
        <v>1218</v>
      </c>
      <c r="G331" s="30" t="s">
        <v>190</v>
      </c>
      <c r="H331" s="33">
        <v>46093.0</v>
      </c>
      <c r="I331" s="30">
        <v>1263762.0</v>
      </c>
      <c r="J331" s="32" t="s">
        <v>1219</v>
      </c>
      <c r="K331" s="43" t="s">
        <v>202</v>
      </c>
      <c r="L331" s="34" t="s">
        <v>195</v>
      </c>
      <c r="M331" s="30">
        <v>4.0</v>
      </c>
      <c r="N331" s="30" t="s">
        <v>356</v>
      </c>
      <c r="O331" s="30" t="s">
        <v>194</v>
      </c>
      <c r="P331" s="30">
        <v>160.0</v>
      </c>
      <c r="Q331" s="30" t="s">
        <v>221</v>
      </c>
      <c r="R331" s="30" t="s">
        <v>222</v>
      </c>
      <c r="S331" s="30" t="s">
        <v>197</v>
      </c>
      <c r="T331" s="30" t="s">
        <v>1220</v>
      </c>
      <c r="U331" s="30">
        <v>1.5717647E7</v>
      </c>
    </row>
    <row r="332">
      <c r="A332" s="30">
        <v>51.466633</v>
      </c>
      <c r="B332" s="30">
        <v>25.19668</v>
      </c>
      <c r="C332" s="30" t="str">
        <f t="shared" si="1"/>
        <v>51.466633 25.19668</v>
      </c>
      <c r="D332" s="30">
        <v>56.0</v>
      </c>
      <c r="E332" s="39" t="s">
        <v>1221</v>
      </c>
      <c r="F332" s="54" t="s">
        <v>1222</v>
      </c>
      <c r="G332" s="34" t="s">
        <v>190</v>
      </c>
      <c r="H332" s="55">
        <v>46086.0</v>
      </c>
      <c r="I332" s="37">
        <v>1263760.0</v>
      </c>
      <c r="J332" s="30" t="s">
        <v>201</v>
      </c>
      <c r="K332" s="43" t="s">
        <v>202</v>
      </c>
      <c r="L332" s="34" t="s">
        <v>195</v>
      </c>
      <c r="M332" s="30">
        <v>3.0</v>
      </c>
      <c r="N332" s="30" t="s">
        <v>356</v>
      </c>
      <c r="O332" s="30" t="s">
        <v>194</v>
      </c>
      <c r="P332" s="30">
        <v>160.0</v>
      </c>
      <c r="Q332" s="30" t="s">
        <v>221</v>
      </c>
      <c r="R332" s="30" t="s">
        <v>222</v>
      </c>
      <c r="S332" s="30" t="s">
        <v>197</v>
      </c>
      <c r="T332" s="30" t="s">
        <v>1223</v>
      </c>
      <c r="U332" s="30">
        <v>1.5717648E7</v>
      </c>
    </row>
    <row r="333">
      <c r="A333" s="30">
        <v>51.459797</v>
      </c>
      <c r="B333" s="30">
        <v>25.194872</v>
      </c>
      <c r="C333" s="30" t="str">
        <f t="shared" si="1"/>
        <v>51.459797 25.194872</v>
      </c>
      <c r="D333" s="30">
        <v>56.0</v>
      </c>
      <c r="E333" s="36" t="s">
        <v>244</v>
      </c>
      <c r="F333" s="32" t="s">
        <v>1224</v>
      </c>
      <c r="G333" s="30" t="s">
        <v>190</v>
      </c>
      <c r="H333" s="33">
        <v>46093.0</v>
      </c>
      <c r="I333" s="30">
        <v>1234322.0</v>
      </c>
      <c r="J333" s="30" t="s">
        <v>201</v>
      </c>
      <c r="K333" s="43" t="s">
        <v>202</v>
      </c>
      <c r="L333" s="34" t="s">
        <v>195</v>
      </c>
      <c r="M333" s="30">
        <v>3.0</v>
      </c>
      <c r="N333" s="30" t="s">
        <v>356</v>
      </c>
      <c r="O333" s="30" t="s">
        <v>194</v>
      </c>
      <c r="P333" s="30">
        <v>160.0</v>
      </c>
      <c r="Q333" s="30" t="s">
        <v>221</v>
      </c>
      <c r="R333" s="30" t="s">
        <v>222</v>
      </c>
      <c r="S333" s="30" t="s">
        <v>197</v>
      </c>
      <c r="T333" s="30" t="s">
        <v>1225</v>
      </c>
      <c r="U333" s="30">
        <v>1.5717717E7</v>
      </c>
    </row>
    <row r="334">
      <c r="A334" s="75">
        <v>51.494675</v>
      </c>
      <c r="B334" s="75">
        <v>25.213812</v>
      </c>
      <c r="C334" s="30" t="str">
        <f t="shared" si="1"/>
        <v>51.494675 25.213812</v>
      </c>
      <c r="D334" s="75">
        <v>56.0</v>
      </c>
      <c r="E334" s="79" t="s">
        <v>1226</v>
      </c>
      <c r="F334" s="80" t="s">
        <v>1227</v>
      </c>
      <c r="G334" s="30" t="s">
        <v>190</v>
      </c>
      <c r="H334" s="81">
        <v>46102.0</v>
      </c>
      <c r="I334" s="75">
        <v>1277987.0</v>
      </c>
      <c r="J334" s="30" t="s">
        <v>1228</v>
      </c>
      <c r="K334" s="34" t="s">
        <v>192</v>
      </c>
      <c r="L334" s="35"/>
      <c r="M334" s="30">
        <v>3.0</v>
      </c>
      <c r="N334" s="75" t="s">
        <v>193</v>
      </c>
      <c r="O334" s="75" t="s">
        <v>194</v>
      </c>
      <c r="P334" s="75">
        <v>160.0</v>
      </c>
      <c r="Q334" s="75" t="s">
        <v>195</v>
      </c>
      <c r="R334" s="75" t="s">
        <v>196</v>
      </c>
      <c r="S334" s="75" t="s">
        <v>197</v>
      </c>
      <c r="T334" s="75" t="s">
        <v>1229</v>
      </c>
      <c r="U334" s="75">
        <v>1.5717649E7</v>
      </c>
    </row>
    <row r="335">
      <c r="A335" s="30">
        <v>51.498295</v>
      </c>
      <c r="B335" s="30">
        <v>25.210988</v>
      </c>
      <c r="C335" s="30" t="str">
        <f t="shared" si="1"/>
        <v>51.498295 25.210988</v>
      </c>
      <c r="D335" s="30">
        <v>56.0</v>
      </c>
      <c r="E335" s="39" t="s">
        <v>264</v>
      </c>
      <c r="F335" s="54" t="s">
        <v>1230</v>
      </c>
      <c r="G335" s="34" t="s">
        <v>190</v>
      </c>
      <c r="H335" s="33">
        <v>46092.0</v>
      </c>
      <c r="I335" s="34">
        <v>1277454.0</v>
      </c>
      <c r="J335" s="30" t="s">
        <v>201</v>
      </c>
      <c r="K335" s="43" t="s">
        <v>202</v>
      </c>
      <c r="L335" s="34" t="s">
        <v>195</v>
      </c>
      <c r="M335" s="30">
        <v>3.0</v>
      </c>
      <c r="N335" s="30" t="s">
        <v>356</v>
      </c>
      <c r="O335" s="30" t="s">
        <v>194</v>
      </c>
      <c r="P335" s="30">
        <v>160.0</v>
      </c>
      <c r="Q335" s="30" t="s">
        <v>221</v>
      </c>
      <c r="R335" s="30" t="s">
        <v>222</v>
      </c>
      <c r="S335" s="30" t="s">
        <v>197</v>
      </c>
      <c r="T335" s="30" t="s">
        <v>1231</v>
      </c>
      <c r="U335" s="30">
        <v>1.5717608E7</v>
      </c>
    </row>
    <row r="336">
      <c r="A336" s="30">
        <v>51.436341</v>
      </c>
      <c r="B336" s="30">
        <v>25.218564</v>
      </c>
      <c r="C336" s="30" t="str">
        <f t="shared" si="1"/>
        <v>51.436341 25.218564</v>
      </c>
      <c r="D336" s="30">
        <v>57.0</v>
      </c>
      <c r="E336" s="36" t="s">
        <v>454</v>
      </c>
      <c r="F336" s="40" t="s">
        <v>1232</v>
      </c>
      <c r="G336" s="41" t="s">
        <v>190</v>
      </c>
      <c r="H336" s="33">
        <v>46092.0</v>
      </c>
      <c r="I336" s="30" t="s">
        <v>201</v>
      </c>
      <c r="J336" s="30" t="s">
        <v>460</v>
      </c>
      <c r="K336" s="43" t="s">
        <v>202</v>
      </c>
      <c r="L336" s="34" t="s">
        <v>195</v>
      </c>
      <c r="M336" s="30">
        <v>3.0</v>
      </c>
      <c r="N336" s="30" t="s">
        <v>356</v>
      </c>
      <c r="O336" s="30" t="s">
        <v>194</v>
      </c>
      <c r="P336" s="30">
        <v>160.0</v>
      </c>
      <c r="Q336" s="30" t="s">
        <v>195</v>
      </c>
      <c r="R336" s="30" t="s">
        <v>196</v>
      </c>
      <c r="S336" s="30" t="s">
        <v>197</v>
      </c>
      <c r="T336" s="30" t="s">
        <v>1233</v>
      </c>
      <c r="U336" s="30">
        <v>2.0033817E7</v>
      </c>
    </row>
    <row r="337">
      <c r="A337" s="30">
        <v>51.438168</v>
      </c>
      <c r="B337" s="30">
        <v>25.217325</v>
      </c>
      <c r="C337" s="30" t="str">
        <f t="shared" si="1"/>
        <v>51.438168 25.217325</v>
      </c>
      <c r="D337" s="30">
        <v>56.0</v>
      </c>
      <c r="E337" s="36" t="s">
        <v>1234</v>
      </c>
      <c r="F337" s="32" t="s">
        <v>1235</v>
      </c>
      <c r="G337" s="30" t="s">
        <v>190</v>
      </c>
      <c r="H337" s="33">
        <v>46093.0</v>
      </c>
      <c r="I337" s="30">
        <v>1391307.0</v>
      </c>
      <c r="J337" s="30" t="s">
        <v>201</v>
      </c>
      <c r="K337" s="43" t="s">
        <v>202</v>
      </c>
      <c r="L337" s="34" t="s">
        <v>195</v>
      </c>
      <c r="M337" s="30">
        <v>3.0</v>
      </c>
      <c r="N337" s="30" t="s">
        <v>356</v>
      </c>
      <c r="O337" s="30" t="s">
        <v>194</v>
      </c>
      <c r="P337" s="30">
        <v>160.0</v>
      </c>
      <c r="Q337" s="30" t="s">
        <v>221</v>
      </c>
      <c r="R337" s="30" t="s">
        <v>222</v>
      </c>
      <c r="S337" s="30" t="s">
        <v>197</v>
      </c>
      <c r="T337" s="30" t="s">
        <v>1236</v>
      </c>
      <c r="U337" s="30">
        <v>2.0033818E7</v>
      </c>
    </row>
    <row r="338">
      <c r="A338" s="30">
        <v>51.440583</v>
      </c>
      <c r="B338" s="30">
        <v>25.213926</v>
      </c>
      <c r="C338" s="30" t="str">
        <f t="shared" si="1"/>
        <v>51.440583 25.213926</v>
      </c>
      <c r="D338" s="30">
        <v>56.0</v>
      </c>
      <c r="E338" s="36" t="s">
        <v>1237</v>
      </c>
      <c r="F338" s="32" t="s">
        <v>1238</v>
      </c>
      <c r="G338" s="30" t="s">
        <v>190</v>
      </c>
      <c r="H338" s="33">
        <v>46093.0</v>
      </c>
      <c r="I338" s="30" t="s">
        <v>201</v>
      </c>
      <c r="J338" s="30" t="s">
        <v>460</v>
      </c>
      <c r="K338" s="34" t="s">
        <v>202</v>
      </c>
      <c r="L338" s="35"/>
      <c r="M338" s="30">
        <v>3.0</v>
      </c>
      <c r="N338" s="30" t="s">
        <v>356</v>
      </c>
      <c r="O338" s="30" t="s">
        <v>194</v>
      </c>
      <c r="P338" s="30">
        <v>160.0</v>
      </c>
      <c r="Q338" s="30" t="s">
        <v>195</v>
      </c>
      <c r="R338" s="30" t="s">
        <v>196</v>
      </c>
      <c r="S338" s="30" t="s">
        <v>197</v>
      </c>
      <c r="T338" s="30" t="s">
        <v>1239</v>
      </c>
      <c r="U338" s="30">
        <v>2.0033819E7</v>
      </c>
    </row>
    <row r="339">
      <c r="A339" s="30">
        <v>51.441479</v>
      </c>
      <c r="B339" s="30">
        <v>25.211291</v>
      </c>
      <c r="C339" s="30" t="str">
        <f t="shared" si="1"/>
        <v>51.441479 25.211291</v>
      </c>
      <c r="D339" s="30">
        <v>57.0</v>
      </c>
      <c r="E339" s="36" t="s">
        <v>323</v>
      </c>
      <c r="F339" s="54" t="s">
        <v>1240</v>
      </c>
      <c r="G339" s="34" t="s">
        <v>190</v>
      </c>
      <c r="H339" s="33">
        <v>46092.0</v>
      </c>
      <c r="I339" s="37">
        <v>1391346.0</v>
      </c>
      <c r="J339" s="30" t="s">
        <v>201</v>
      </c>
      <c r="K339" s="43" t="s">
        <v>202</v>
      </c>
      <c r="L339" s="34" t="s">
        <v>195</v>
      </c>
      <c r="M339" s="30">
        <v>3.0</v>
      </c>
      <c r="N339" s="30" t="s">
        <v>356</v>
      </c>
      <c r="O339" s="30" t="s">
        <v>194</v>
      </c>
      <c r="P339" s="30">
        <v>160.0</v>
      </c>
      <c r="Q339" s="30" t="s">
        <v>195</v>
      </c>
      <c r="R339" s="30" t="s">
        <v>196</v>
      </c>
      <c r="S339" s="30" t="s">
        <v>197</v>
      </c>
      <c r="T339" s="30" t="s">
        <v>1241</v>
      </c>
      <c r="U339" s="30">
        <v>2.003382E7</v>
      </c>
    </row>
    <row r="340">
      <c r="A340" s="30">
        <v>51.443523</v>
      </c>
      <c r="B340" s="30">
        <v>25.208435</v>
      </c>
      <c r="C340" s="30" t="str">
        <f t="shared" si="1"/>
        <v>51.443523 25.208435</v>
      </c>
      <c r="D340" s="30">
        <v>57.0</v>
      </c>
      <c r="E340" s="36" t="s">
        <v>1242</v>
      </c>
      <c r="F340" s="32" t="s">
        <v>643</v>
      </c>
      <c r="G340" s="30" t="s">
        <v>190</v>
      </c>
      <c r="H340" s="33">
        <v>46074.0</v>
      </c>
      <c r="I340" s="30" t="s">
        <v>201</v>
      </c>
      <c r="J340" s="30" t="s">
        <v>201</v>
      </c>
      <c r="K340" s="43" t="s">
        <v>202</v>
      </c>
      <c r="L340" s="34" t="s">
        <v>195</v>
      </c>
      <c r="M340" s="30">
        <v>3.0</v>
      </c>
      <c r="N340" s="30" t="s">
        <v>356</v>
      </c>
      <c r="O340" s="30" t="s">
        <v>194</v>
      </c>
      <c r="P340" s="30">
        <v>160.0</v>
      </c>
      <c r="Q340" s="30" t="s">
        <v>195</v>
      </c>
      <c r="R340" s="30" t="s">
        <v>196</v>
      </c>
      <c r="S340" s="30" t="s">
        <v>197</v>
      </c>
      <c r="T340" s="30" t="s">
        <v>1243</v>
      </c>
      <c r="U340" s="30">
        <v>2.0033821E7</v>
      </c>
    </row>
    <row r="341">
      <c r="A341" s="30">
        <v>51.44419</v>
      </c>
      <c r="B341" s="30">
        <v>25.207483</v>
      </c>
      <c r="C341" s="30" t="str">
        <f t="shared" si="1"/>
        <v>51.44419 25.207483</v>
      </c>
      <c r="D341" s="30">
        <v>57.0</v>
      </c>
      <c r="E341" s="39" t="s">
        <v>1244</v>
      </c>
      <c r="F341" s="40" t="s">
        <v>201</v>
      </c>
      <c r="G341" s="34" t="s">
        <v>190</v>
      </c>
      <c r="H341" s="33">
        <v>46091.0</v>
      </c>
      <c r="I341" s="37">
        <v>1391348.0</v>
      </c>
      <c r="J341" s="30" t="s">
        <v>201</v>
      </c>
      <c r="K341" s="43" t="s">
        <v>202</v>
      </c>
      <c r="L341" s="34" t="s">
        <v>195</v>
      </c>
      <c r="M341" s="30">
        <v>3.0</v>
      </c>
      <c r="N341" s="30" t="s">
        <v>356</v>
      </c>
      <c r="O341" s="30" t="s">
        <v>194</v>
      </c>
      <c r="P341" s="30">
        <v>160.0</v>
      </c>
      <c r="Q341" s="30" t="s">
        <v>195</v>
      </c>
      <c r="R341" s="30" t="s">
        <v>196</v>
      </c>
      <c r="S341" s="30" t="s">
        <v>197</v>
      </c>
      <c r="T341" s="30" t="s">
        <v>1245</v>
      </c>
      <c r="U341" s="30">
        <v>2.0033822E7</v>
      </c>
    </row>
    <row r="342">
      <c r="A342" s="30">
        <v>51.447258</v>
      </c>
      <c r="B342" s="30">
        <v>25.203132</v>
      </c>
      <c r="C342" s="30" t="str">
        <f t="shared" si="1"/>
        <v>51.447258 25.203132</v>
      </c>
      <c r="D342" s="30">
        <v>57.0</v>
      </c>
      <c r="E342" s="36" t="s">
        <v>1246</v>
      </c>
      <c r="F342" s="32" t="s">
        <v>1247</v>
      </c>
      <c r="G342" s="30" t="s">
        <v>190</v>
      </c>
      <c r="H342" s="33">
        <v>46076.0</v>
      </c>
      <c r="I342" s="30">
        <v>1394497.0</v>
      </c>
      <c r="J342" s="30" t="s">
        <v>201</v>
      </c>
      <c r="K342" s="43" t="s">
        <v>202</v>
      </c>
      <c r="L342" s="34" t="s">
        <v>195</v>
      </c>
      <c r="M342" s="30">
        <v>3.0</v>
      </c>
      <c r="N342" s="30" t="s">
        <v>356</v>
      </c>
      <c r="O342" s="30" t="s">
        <v>194</v>
      </c>
      <c r="P342" s="30">
        <v>160.0</v>
      </c>
      <c r="Q342" s="30" t="s">
        <v>195</v>
      </c>
      <c r="R342" s="30" t="s">
        <v>196</v>
      </c>
      <c r="S342" s="30" t="s">
        <v>197</v>
      </c>
      <c r="T342" s="30" t="s">
        <v>1248</v>
      </c>
      <c r="U342" s="30">
        <v>2.0033823E7</v>
      </c>
    </row>
    <row r="343">
      <c r="A343" s="30">
        <v>51.447423</v>
      </c>
      <c r="B343" s="30">
        <v>25.202601</v>
      </c>
      <c r="C343" s="30" t="str">
        <f t="shared" si="1"/>
        <v>51.447423 25.202601</v>
      </c>
      <c r="D343" s="30">
        <v>57.0</v>
      </c>
      <c r="E343" s="36" t="s">
        <v>1249</v>
      </c>
      <c r="F343" s="32" t="s">
        <v>201</v>
      </c>
      <c r="G343" s="30" t="s">
        <v>190</v>
      </c>
      <c r="H343" s="33">
        <v>46098.0</v>
      </c>
      <c r="I343" s="30" t="s">
        <v>201</v>
      </c>
      <c r="J343" s="30" t="s">
        <v>201</v>
      </c>
      <c r="K343" s="43" t="s">
        <v>202</v>
      </c>
      <c r="L343" s="35"/>
      <c r="M343" s="30">
        <v>3.0</v>
      </c>
      <c r="N343" s="30" t="s">
        <v>262</v>
      </c>
      <c r="O343" s="30" t="s">
        <v>194</v>
      </c>
      <c r="P343" s="30">
        <v>160.0</v>
      </c>
      <c r="Q343" s="30" t="s">
        <v>195</v>
      </c>
      <c r="R343" s="30" t="s">
        <v>196</v>
      </c>
      <c r="S343" s="30" t="s">
        <v>197</v>
      </c>
      <c r="T343" s="30" t="s">
        <v>1250</v>
      </c>
      <c r="U343" s="30">
        <v>2.0033824E7</v>
      </c>
    </row>
    <row r="344">
      <c r="A344" s="30">
        <v>51.449127</v>
      </c>
      <c r="B344" s="30">
        <v>25.201893</v>
      </c>
      <c r="C344" s="30" t="str">
        <f t="shared" si="1"/>
        <v>51.449127 25.201893</v>
      </c>
      <c r="D344" s="30">
        <v>56.0</v>
      </c>
      <c r="E344" s="36" t="s">
        <v>1251</v>
      </c>
      <c r="F344" s="32" t="s">
        <v>1238</v>
      </c>
      <c r="G344" s="30" t="s">
        <v>190</v>
      </c>
      <c r="H344" s="33">
        <v>46093.0</v>
      </c>
      <c r="I344" s="30" t="s">
        <v>201</v>
      </c>
      <c r="J344" s="30" t="s">
        <v>1252</v>
      </c>
      <c r="K344" s="43" t="s">
        <v>202</v>
      </c>
      <c r="L344" s="34" t="s">
        <v>195</v>
      </c>
      <c r="M344" s="30">
        <v>3.0</v>
      </c>
      <c r="N344" s="30" t="s">
        <v>356</v>
      </c>
      <c r="O344" s="30" t="s">
        <v>194</v>
      </c>
      <c r="P344" s="30">
        <v>160.0</v>
      </c>
      <c r="Q344" s="30" t="s">
        <v>195</v>
      </c>
      <c r="R344" s="30" t="s">
        <v>196</v>
      </c>
      <c r="S344" s="30" t="s">
        <v>197</v>
      </c>
      <c r="T344" s="30" t="s">
        <v>1253</v>
      </c>
      <c r="U344" s="30">
        <v>2.0033825E7</v>
      </c>
    </row>
    <row r="345">
      <c r="A345" s="30">
        <v>51.451937</v>
      </c>
      <c r="B345" s="30">
        <v>25.196615</v>
      </c>
      <c r="C345" s="30" t="str">
        <f t="shared" si="1"/>
        <v>51.451937 25.196615</v>
      </c>
      <c r="D345" s="30">
        <v>57.0</v>
      </c>
      <c r="E345" s="36" t="s">
        <v>1254</v>
      </c>
      <c r="F345" s="32" t="s">
        <v>1255</v>
      </c>
      <c r="G345" s="30" t="s">
        <v>190</v>
      </c>
      <c r="H345" s="33">
        <v>46076.0</v>
      </c>
      <c r="I345" s="30" t="s">
        <v>201</v>
      </c>
      <c r="J345" s="30" t="s">
        <v>201</v>
      </c>
      <c r="K345" s="43" t="s">
        <v>202</v>
      </c>
      <c r="L345" s="34" t="s">
        <v>195</v>
      </c>
      <c r="M345" s="30">
        <v>3.0</v>
      </c>
      <c r="N345" s="30" t="s">
        <v>356</v>
      </c>
      <c r="O345" s="30" t="s">
        <v>194</v>
      </c>
      <c r="P345" s="30">
        <v>160.0</v>
      </c>
      <c r="Q345" s="30" t="s">
        <v>195</v>
      </c>
      <c r="R345" s="30" t="s">
        <v>196</v>
      </c>
      <c r="S345" s="30" t="s">
        <v>197</v>
      </c>
      <c r="T345" s="30" t="s">
        <v>1256</v>
      </c>
      <c r="U345" s="30">
        <v>2.0033826E7</v>
      </c>
    </row>
    <row r="346">
      <c r="A346" s="30">
        <v>51.558585</v>
      </c>
      <c r="B346" s="30">
        <v>25.283365</v>
      </c>
      <c r="C346" s="30" t="str">
        <f t="shared" si="1"/>
        <v>51.558585 25.283365</v>
      </c>
      <c r="D346" s="30">
        <v>28.0</v>
      </c>
      <c r="E346" s="39" t="s">
        <v>249</v>
      </c>
      <c r="F346" s="40" t="s">
        <v>201</v>
      </c>
      <c r="G346" s="41" t="s">
        <v>190</v>
      </c>
      <c r="H346" s="42">
        <v>46086.0</v>
      </c>
      <c r="I346" s="41">
        <v>1427205.0</v>
      </c>
      <c r="J346" s="30" t="s">
        <v>201</v>
      </c>
      <c r="K346" s="37" t="s">
        <v>296</v>
      </c>
      <c r="L346" s="41" t="s">
        <v>451</v>
      </c>
      <c r="M346" s="41">
        <v>3.0</v>
      </c>
      <c r="N346" s="30" t="s">
        <v>220</v>
      </c>
      <c r="O346" s="30" t="s">
        <v>194</v>
      </c>
      <c r="P346" s="30">
        <v>160.0</v>
      </c>
      <c r="Q346" s="30" t="s">
        <v>195</v>
      </c>
      <c r="R346" s="30" t="s">
        <v>1062</v>
      </c>
      <c r="S346" s="30" t="s">
        <v>197</v>
      </c>
      <c r="T346" s="30" t="s">
        <v>1257</v>
      </c>
      <c r="U346" s="30">
        <v>2.0033755E7</v>
      </c>
    </row>
    <row r="347">
      <c r="A347" s="30">
        <v>51.566042</v>
      </c>
      <c r="B347" s="30">
        <v>25.283036</v>
      </c>
      <c r="C347" s="30" t="str">
        <f t="shared" si="1"/>
        <v>51.566042 25.283036</v>
      </c>
      <c r="D347" s="30">
        <v>28.0</v>
      </c>
      <c r="E347" s="39" t="s">
        <v>1258</v>
      </c>
      <c r="F347" s="40" t="s">
        <v>201</v>
      </c>
      <c r="G347" s="41" t="s">
        <v>190</v>
      </c>
      <c r="H347" s="42">
        <v>46088.0</v>
      </c>
      <c r="I347" s="41">
        <v>1427206.0</v>
      </c>
      <c r="J347" s="30" t="s">
        <v>201</v>
      </c>
      <c r="K347" s="37" t="s">
        <v>296</v>
      </c>
      <c r="L347" s="41" t="s">
        <v>195</v>
      </c>
      <c r="M347" s="41">
        <v>2.0</v>
      </c>
      <c r="N347" s="30" t="s">
        <v>220</v>
      </c>
      <c r="O347" s="30" t="s">
        <v>194</v>
      </c>
      <c r="P347" s="30">
        <v>160.0</v>
      </c>
      <c r="Q347" s="30" t="s">
        <v>195</v>
      </c>
      <c r="R347" s="30" t="s">
        <v>1062</v>
      </c>
      <c r="S347" s="30" t="s">
        <v>197</v>
      </c>
      <c r="T347" s="30" t="s">
        <v>1259</v>
      </c>
      <c r="U347" s="30">
        <v>2.0033756E7</v>
      </c>
    </row>
    <row r="348">
      <c r="A348" s="30">
        <v>51.57272</v>
      </c>
      <c r="B348" s="30">
        <v>25.277856</v>
      </c>
      <c r="C348" s="30" t="str">
        <f t="shared" si="1"/>
        <v>51.57272 25.277856</v>
      </c>
      <c r="D348" s="30">
        <v>48.0</v>
      </c>
      <c r="E348" s="39" t="s">
        <v>310</v>
      </c>
      <c r="F348" s="40" t="s">
        <v>201</v>
      </c>
      <c r="G348" s="41" t="s">
        <v>190</v>
      </c>
      <c r="H348" s="42">
        <v>46086.0</v>
      </c>
      <c r="I348" s="41" t="s">
        <v>201</v>
      </c>
      <c r="J348" s="41" t="s">
        <v>1260</v>
      </c>
      <c r="K348" s="37" t="s">
        <v>296</v>
      </c>
      <c r="L348" s="41" t="s">
        <v>195</v>
      </c>
      <c r="M348" s="41">
        <v>2.0</v>
      </c>
      <c r="N348" s="30" t="s">
        <v>220</v>
      </c>
      <c r="O348" s="30" t="s">
        <v>194</v>
      </c>
      <c r="P348" s="30">
        <v>160.0</v>
      </c>
      <c r="Q348" s="30" t="s">
        <v>221</v>
      </c>
      <c r="R348" s="30" t="s">
        <v>222</v>
      </c>
      <c r="S348" s="30" t="s">
        <v>197</v>
      </c>
      <c r="T348" s="30" t="s">
        <v>1261</v>
      </c>
      <c r="U348" s="30">
        <v>2.0033757E7</v>
      </c>
    </row>
    <row r="349">
      <c r="A349" s="30">
        <v>51.574383</v>
      </c>
      <c r="B349" s="30">
        <v>25.273199</v>
      </c>
      <c r="C349" s="30" t="str">
        <f t="shared" si="1"/>
        <v>51.574383 25.273199</v>
      </c>
      <c r="D349" s="30">
        <v>48.0</v>
      </c>
      <c r="E349" s="39" t="s">
        <v>289</v>
      </c>
      <c r="F349" s="40" t="s">
        <v>201</v>
      </c>
      <c r="G349" s="41" t="s">
        <v>190</v>
      </c>
      <c r="H349" s="42">
        <v>46075.0</v>
      </c>
      <c r="I349" s="41" t="s">
        <v>201</v>
      </c>
      <c r="J349" s="41" t="s">
        <v>1260</v>
      </c>
      <c r="K349" s="37" t="s">
        <v>296</v>
      </c>
      <c r="L349" s="41" t="s">
        <v>1262</v>
      </c>
      <c r="M349" s="41">
        <v>2.0</v>
      </c>
      <c r="N349" s="30" t="s">
        <v>220</v>
      </c>
      <c r="O349" s="30" t="s">
        <v>194</v>
      </c>
      <c r="P349" s="30">
        <v>160.0</v>
      </c>
      <c r="Q349" s="30" t="s">
        <v>195</v>
      </c>
      <c r="R349" s="30" t="s">
        <v>1062</v>
      </c>
      <c r="S349" s="30" t="s">
        <v>197</v>
      </c>
      <c r="T349" s="30" t="s">
        <v>1263</v>
      </c>
      <c r="U349" s="30">
        <v>2.0033758E7</v>
      </c>
    </row>
    <row r="350">
      <c r="A350" s="30">
        <v>51.577662</v>
      </c>
      <c r="B350" s="30">
        <v>25.270693</v>
      </c>
      <c r="C350" s="30" t="str">
        <f t="shared" si="1"/>
        <v>51.577662 25.270693</v>
      </c>
      <c r="D350" s="30">
        <v>48.0</v>
      </c>
      <c r="E350" s="39" t="s">
        <v>323</v>
      </c>
      <c r="F350" s="40" t="s">
        <v>201</v>
      </c>
      <c r="G350" s="41" t="s">
        <v>190</v>
      </c>
      <c r="H350" s="42">
        <v>46088.0</v>
      </c>
      <c r="I350" s="41" t="s">
        <v>201</v>
      </c>
      <c r="J350" s="41" t="s">
        <v>1264</v>
      </c>
      <c r="K350" s="37" t="s">
        <v>296</v>
      </c>
      <c r="L350" s="41" t="s">
        <v>195</v>
      </c>
      <c r="M350" s="41">
        <v>2.0</v>
      </c>
      <c r="N350" s="30" t="s">
        <v>220</v>
      </c>
      <c r="O350" s="30" t="s">
        <v>194</v>
      </c>
      <c r="P350" s="30">
        <v>160.0</v>
      </c>
      <c r="Q350" s="30" t="s">
        <v>195</v>
      </c>
      <c r="R350" s="30" t="s">
        <v>196</v>
      </c>
      <c r="S350" s="30" t="s">
        <v>197</v>
      </c>
      <c r="T350" s="30" t="s">
        <v>1265</v>
      </c>
      <c r="U350" s="30">
        <v>2.0033759E7</v>
      </c>
    </row>
    <row r="351">
      <c r="A351" s="30">
        <v>51.579258</v>
      </c>
      <c r="B351" s="30">
        <v>25.267149</v>
      </c>
      <c r="C351" s="30" t="str">
        <f t="shared" si="1"/>
        <v>51.579258 25.267149</v>
      </c>
      <c r="D351" s="30">
        <v>48.0</v>
      </c>
      <c r="E351" s="39" t="s">
        <v>489</v>
      </c>
      <c r="F351" s="40" t="s">
        <v>201</v>
      </c>
      <c r="G351" s="41" t="s">
        <v>190</v>
      </c>
      <c r="H351" s="42">
        <v>46086.0</v>
      </c>
      <c r="I351" s="41" t="s">
        <v>201</v>
      </c>
      <c r="J351" s="41" t="s">
        <v>1264</v>
      </c>
      <c r="K351" s="37" t="s">
        <v>296</v>
      </c>
      <c r="L351" s="41" t="s">
        <v>195</v>
      </c>
      <c r="M351" s="41">
        <v>3.0</v>
      </c>
      <c r="N351" s="30" t="s">
        <v>220</v>
      </c>
      <c r="O351" s="30" t="s">
        <v>194</v>
      </c>
      <c r="P351" s="30">
        <v>160.0</v>
      </c>
      <c r="Q351" s="30" t="s">
        <v>195</v>
      </c>
      <c r="R351" s="30" t="s">
        <v>196</v>
      </c>
      <c r="S351" s="30" t="s">
        <v>197</v>
      </c>
      <c r="T351" s="30" t="s">
        <v>1266</v>
      </c>
      <c r="U351" s="30">
        <v>2.003376E7</v>
      </c>
    </row>
    <row r="352">
      <c r="A352" s="30">
        <v>51.580343</v>
      </c>
      <c r="B352" s="30">
        <v>25.26685</v>
      </c>
      <c r="C352" s="30" t="str">
        <f t="shared" si="1"/>
        <v>51.580343 25.26685</v>
      </c>
      <c r="D352" s="30">
        <v>49.0</v>
      </c>
      <c r="E352" s="39" t="s">
        <v>479</v>
      </c>
      <c r="F352" s="40" t="s">
        <v>201</v>
      </c>
      <c r="G352" s="41" t="s">
        <v>190</v>
      </c>
      <c r="H352" s="42">
        <v>46086.0</v>
      </c>
      <c r="I352" s="41" t="s">
        <v>201</v>
      </c>
      <c r="J352" s="41" t="s">
        <v>1267</v>
      </c>
      <c r="K352" s="37" t="s">
        <v>296</v>
      </c>
      <c r="L352" s="41" t="s">
        <v>195</v>
      </c>
      <c r="M352" s="41">
        <v>2.0</v>
      </c>
      <c r="N352" s="30" t="s">
        <v>193</v>
      </c>
      <c r="O352" s="30" t="s">
        <v>194</v>
      </c>
      <c r="P352" s="30">
        <v>160.0</v>
      </c>
      <c r="Q352" s="30" t="s">
        <v>195</v>
      </c>
      <c r="R352" s="30" t="s">
        <v>1062</v>
      </c>
      <c r="S352" s="30" t="s">
        <v>197</v>
      </c>
      <c r="T352" s="30" t="s">
        <v>1268</v>
      </c>
      <c r="U352" s="30">
        <v>2.0033761E7</v>
      </c>
    </row>
    <row r="353">
      <c r="A353" s="30">
        <v>51.581227</v>
      </c>
      <c r="B353" s="30">
        <v>25.262212</v>
      </c>
      <c r="C353" s="30" t="str">
        <f t="shared" si="1"/>
        <v>51.581227 25.262212</v>
      </c>
      <c r="D353" s="30">
        <v>48.0</v>
      </c>
      <c r="E353" s="39" t="s">
        <v>471</v>
      </c>
      <c r="F353" s="40" t="s">
        <v>201</v>
      </c>
      <c r="G353" s="41" t="s">
        <v>190</v>
      </c>
      <c r="H353" s="42">
        <v>46086.0</v>
      </c>
      <c r="I353" s="41" t="s">
        <v>201</v>
      </c>
      <c r="J353" s="41" t="s">
        <v>1269</v>
      </c>
      <c r="K353" s="37" t="s">
        <v>296</v>
      </c>
      <c r="L353" s="41" t="s">
        <v>195</v>
      </c>
      <c r="M353" s="41">
        <v>2.0</v>
      </c>
      <c r="N353" s="30" t="s">
        <v>220</v>
      </c>
      <c r="O353" s="30" t="s">
        <v>194</v>
      </c>
      <c r="P353" s="30">
        <v>160.0</v>
      </c>
      <c r="Q353" s="30" t="s">
        <v>195</v>
      </c>
      <c r="R353" s="30" t="s">
        <v>196</v>
      </c>
      <c r="S353" s="30" t="s">
        <v>197</v>
      </c>
      <c r="T353" s="30" t="s">
        <v>1270</v>
      </c>
      <c r="U353" s="30">
        <v>2.0033762E7</v>
      </c>
    </row>
    <row r="354">
      <c r="A354" s="30">
        <v>51.584411</v>
      </c>
      <c r="B354" s="30">
        <v>25.255851</v>
      </c>
      <c r="C354" s="30" t="str">
        <f t="shared" si="1"/>
        <v>51.584411 25.255851</v>
      </c>
      <c r="D354" s="30">
        <v>48.0</v>
      </c>
      <c r="E354" s="39" t="s">
        <v>475</v>
      </c>
      <c r="F354" s="40" t="s">
        <v>201</v>
      </c>
      <c r="G354" s="41" t="s">
        <v>190</v>
      </c>
      <c r="H354" s="42">
        <v>46088.0</v>
      </c>
      <c r="I354" s="41" t="s">
        <v>201</v>
      </c>
      <c r="J354" s="41" t="s">
        <v>1271</v>
      </c>
      <c r="K354" s="37" t="s">
        <v>296</v>
      </c>
      <c r="L354" s="41" t="s">
        <v>195</v>
      </c>
      <c r="M354" s="41">
        <v>2.0</v>
      </c>
      <c r="N354" s="30" t="s">
        <v>220</v>
      </c>
      <c r="O354" s="30" t="s">
        <v>194</v>
      </c>
      <c r="P354" s="30">
        <v>160.0</v>
      </c>
      <c r="Q354" s="30" t="s">
        <v>195</v>
      </c>
      <c r="R354" s="30" t="s">
        <v>1062</v>
      </c>
      <c r="S354" s="30" t="s">
        <v>197</v>
      </c>
      <c r="T354" s="30" t="s">
        <v>1272</v>
      </c>
      <c r="U354" s="30">
        <v>2.0033763E7</v>
      </c>
    </row>
    <row r="355">
      <c r="A355" s="30">
        <v>51.586503</v>
      </c>
      <c r="B355" s="30">
        <v>25.251144</v>
      </c>
      <c r="C355" s="30" t="str">
        <f t="shared" si="1"/>
        <v>51.586503 25.251144</v>
      </c>
      <c r="D355" s="30">
        <v>48.0</v>
      </c>
      <c r="E355" s="39" t="s">
        <v>679</v>
      </c>
      <c r="F355" s="40" t="s">
        <v>201</v>
      </c>
      <c r="G355" s="41" t="s">
        <v>303</v>
      </c>
      <c r="H355" s="42">
        <v>46086.0</v>
      </c>
      <c r="I355" s="41" t="s">
        <v>201</v>
      </c>
      <c r="J355" s="41" t="s">
        <v>1271</v>
      </c>
      <c r="K355" s="37" t="s">
        <v>296</v>
      </c>
      <c r="L355" s="41" t="s">
        <v>195</v>
      </c>
      <c r="M355" s="41">
        <v>2.0</v>
      </c>
      <c r="N355" s="30" t="s">
        <v>220</v>
      </c>
      <c r="O355" s="30" t="s">
        <v>194</v>
      </c>
      <c r="P355" s="30">
        <v>160.0</v>
      </c>
      <c r="Q355" s="30" t="s">
        <v>221</v>
      </c>
      <c r="R355" s="30" t="s">
        <v>222</v>
      </c>
      <c r="S355" s="30" t="s">
        <v>197</v>
      </c>
      <c r="T355" s="30" t="s">
        <v>1273</v>
      </c>
      <c r="U355" s="30">
        <v>2.0033764E7</v>
      </c>
    </row>
    <row r="356">
      <c r="A356" s="30">
        <v>51.588686</v>
      </c>
      <c r="B356" s="30">
        <v>25.245656</v>
      </c>
      <c r="C356" s="30" t="str">
        <f t="shared" si="1"/>
        <v>51.588686 25.245656</v>
      </c>
      <c r="D356" s="30">
        <v>48.0</v>
      </c>
      <c r="E356" s="39" t="s">
        <v>375</v>
      </c>
      <c r="F356" s="40" t="s">
        <v>201</v>
      </c>
      <c r="G356" s="41" t="s">
        <v>190</v>
      </c>
      <c r="H356" s="42">
        <v>46086.0</v>
      </c>
      <c r="I356" s="41" t="s">
        <v>201</v>
      </c>
      <c r="J356" s="41" t="s">
        <v>1274</v>
      </c>
      <c r="K356" s="37" t="s">
        <v>296</v>
      </c>
      <c r="L356" s="41" t="s">
        <v>195</v>
      </c>
      <c r="M356" s="41">
        <v>2.0</v>
      </c>
      <c r="N356" s="30" t="s">
        <v>220</v>
      </c>
      <c r="O356" s="30" t="s">
        <v>194</v>
      </c>
      <c r="P356" s="30">
        <v>160.0</v>
      </c>
      <c r="Q356" s="30" t="s">
        <v>221</v>
      </c>
      <c r="R356" s="30" t="s">
        <v>222</v>
      </c>
      <c r="S356" s="30" t="s">
        <v>197</v>
      </c>
      <c r="T356" s="30" t="s">
        <v>1275</v>
      </c>
      <c r="U356" s="30">
        <v>2.0033765E7</v>
      </c>
    </row>
    <row r="357">
      <c r="A357" s="30">
        <v>51.586492</v>
      </c>
      <c r="B357" s="30">
        <v>25.236599</v>
      </c>
      <c r="C357" s="30" t="str">
        <f t="shared" si="1"/>
        <v>51.586492 25.236599</v>
      </c>
      <c r="D357" s="30">
        <v>48.0</v>
      </c>
      <c r="E357" s="39" t="s">
        <v>1276</v>
      </c>
      <c r="F357" s="40" t="s">
        <v>340</v>
      </c>
      <c r="G357" s="41" t="s">
        <v>190</v>
      </c>
      <c r="H357" s="42">
        <v>46079.0</v>
      </c>
      <c r="I357" s="41" t="s">
        <v>201</v>
      </c>
      <c r="J357" s="30" t="s">
        <v>201</v>
      </c>
      <c r="K357" s="37" t="s">
        <v>202</v>
      </c>
      <c r="L357" s="41" t="s">
        <v>446</v>
      </c>
      <c r="M357" s="41">
        <v>2.0</v>
      </c>
      <c r="N357" s="30" t="s">
        <v>220</v>
      </c>
      <c r="O357" s="30" t="s">
        <v>194</v>
      </c>
      <c r="P357" s="30">
        <v>160.0</v>
      </c>
      <c r="Q357" s="30" t="s">
        <v>195</v>
      </c>
      <c r="R357" s="30" t="s">
        <v>196</v>
      </c>
      <c r="S357" s="30" t="s">
        <v>197</v>
      </c>
      <c r="T357" s="30" t="s">
        <v>1277</v>
      </c>
      <c r="U357" s="30">
        <v>2.0033766E7</v>
      </c>
    </row>
    <row r="358">
      <c r="A358" s="30">
        <v>51.591683</v>
      </c>
      <c r="B358" s="30">
        <v>25.234984</v>
      </c>
      <c r="C358" s="30" t="str">
        <f t="shared" si="1"/>
        <v>51.591683 25.234984</v>
      </c>
      <c r="D358" s="30">
        <v>49.0</v>
      </c>
      <c r="E358" s="39" t="s">
        <v>1278</v>
      </c>
      <c r="F358" s="40" t="s">
        <v>1279</v>
      </c>
      <c r="G358" s="41" t="s">
        <v>190</v>
      </c>
      <c r="H358" s="42">
        <v>46081.0</v>
      </c>
      <c r="I358" s="41" t="s">
        <v>201</v>
      </c>
      <c r="J358" s="30" t="s">
        <v>201</v>
      </c>
      <c r="K358" s="37" t="s">
        <v>202</v>
      </c>
      <c r="L358" s="41" t="s">
        <v>195</v>
      </c>
      <c r="M358" s="41">
        <v>2.0</v>
      </c>
      <c r="N358" s="30" t="s">
        <v>220</v>
      </c>
      <c r="O358" s="30" t="s">
        <v>194</v>
      </c>
      <c r="P358" s="30">
        <v>160.0</v>
      </c>
      <c r="Q358" s="30" t="s">
        <v>195</v>
      </c>
      <c r="R358" s="30" t="s">
        <v>1062</v>
      </c>
      <c r="S358" s="30" t="s">
        <v>197</v>
      </c>
      <c r="T358" s="30" t="s">
        <v>1280</v>
      </c>
      <c r="U358" s="30">
        <v>2.0033767E7</v>
      </c>
    </row>
    <row r="359">
      <c r="A359" s="30">
        <v>51.573664</v>
      </c>
      <c r="B359" s="30">
        <v>25.27665</v>
      </c>
      <c r="C359" s="30" t="str">
        <f t="shared" si="1"/>
        <v>51.573664 25.27665</v>
      </c>
      <c r="D359" s="30">
        <v>48.0</v>
      </c>
      <c r="E359" s="39" t="s">
        <v>482</v>
      </c>
      <c r="F359" s="40" t="s">
        <v>201</v>
      </c>
      <c r="G359" s="30" t="s">
        <v>303</v>
      </c>
      <c r="H359" s="33">
        <v>46085.0</v>
      </c>
      <c r="I359" s="30" t="s">
        <v>201</v>
      </c>
      <c r="J359" s="30" t="s">
        <v>201</v>
      </c>
      <c r="K359" s="34" t="s">
        <v>201</v>
      </c>
      <c r="L359" s="30" t="s">
        <v>201</v>
      </c>
      <c r="M359" s="41">
        <v>2.0</v>
      </c>
      <c r="N359" s="30" t="s">
        <v>220</v>
      </c>
      <c r="O359" s="30" t="s">
        <v>194</v>
      </c>
      <c r="P359" s="30">
        <v>160.0</v>
      </c>
      <c r="Q359" s="30" t="s">
        <v>1050</v>
      </c>
      <c r="R359" s="30" t="s">
        <v>1051</v>
      </c>
      <c r="S359" s="30" t="s">
        <v>197</v>
      </c>
      <c r="T359" s="30" t="s">
        <v>1281</v>
      </c>
      <c r="U359" s="30">
        <v>2.0033768E7</v>
      </c>
    </row>
    <row r="360">
      <c r="A360" s="30">
        <v>51.578561</v>
      </c>
      <c r="B360" s="30">
        <v>25.268525</v>
      </c>
      <c r="C360" s="30" t="str">
        <f t="shared" si="1"/>
        <v>51.578561 25.268525</v>
      </c>
      <c r="D360" s="30">
        <v>48.0</v>
      </c>
      <c r="E360" s="39" t="s">
        <v>293</v>
      </c>
      <c r="F360" s="40" t="s">
        <v>201</v>
      </c>
      <c r="G360" s="41" t="s">
        <v>190</v>
      </c>
      <c r="H360" s="42">
        <v>46088.0</v>
      </c>
      <c r="I360" s="41" t="s">
        <v>201</v>
      </c>
      <c r="J360" s="30" t="s">
        <v>201</v>
      </c>
      <c r="K360" s="37" t="s">
        <v>202</v>
      </c>
      <c r="L360" s="30" t="s">
        <v>1262</v>
      </c>
      <c r="M360" s="30">
        <v>2.0</v>
      </c>
      <c r="N360" s="30" t="s">
        <v>220</v>
      </c>
      <c r="O360" s="30" t="s">
        <v>194</v>
      </c>
      <c r="P360" s="30">
        <v>160.0</v>
      </c>
      <c r="Q360" s="30" t="s">
        <v>221</v>
      </c>
      <c r="R360" s="30" t="s">
        <v>222</v>
      </c>
      <c r="S360" s="30" t="s">
        <v>197</v>
      </c>
      <c r="T360" s="30" t="s">
        <v>1282</v>
      </c>
      <c r="U360" s="30">
        <v>2.0033769E7</v>
      </c>
    </row>
    <row r="361">
      <c r="A361" s="30">
        <v>51.581817</v>
      </c>
      <c r="B361" s="30">
        <v>25.261707</v>
      </c>
      <c r="C361" s="30" t="str">
        <f t="shared" si="1"/>
        <v>51.581817 25.261707</v>
      </c>
      <c r="D361" s="30">
        <v>48.0</v>
      </c>
      <c r="E361" s="39" t="s">
        <v>289</v>
      </c>
      <c r="F361" s="40" t="s">
        <v>201</v>
      </c>
      <c r="G361" s="41" t="s">
        <v>190</v>
      </c>
      <c r="H361" s="42">
        <v>46073.0</v>
      </c>
      <c r="I361" s="41" t="s">
        <v>201</v>
      </c>
      <c r="J361" s="41" t="s">
        <v>1283</v>
      </c>
      <c r="K361" s="37" t="s">
        <v>1284</v>
      </c>
      <c r="L361" s="41" t="s">
        <v>1262</v>
      </c>
      <c r="M361" s="41">
        <v>2.0</v>
      </c>
      <c r="N361" s="30" t="s">
        <v>220</v>
      </c>
      <c r="O361" s="30" t="s">
        <v>194</v>
      </c>
      <c r="P361" s="30">
        <v>160.0</v>
      </c>
      <c r="Q361" s="30" t="s">
        <v>195</v>
      </c>
      <c r="R361" s="30" t="s">
        <v>196</v>
      </c>
      <c r="S361" s="30" t="s">
        <v>197</v>
      </c>
      <c r="T361" s="30" t="s">
        <v>1263</v>
      </c>
      <c r="U361" s="30">
        <v>2.003377E7</v>
      </c>
    </row>
    <row r="362">
      <c r="A362" s="30">
        <v>51.58641</v>
      </c>
      <c r="B362" s="30">
        <v>25.250663</v>
      </c>
      <c r="C362" s="30" t="str">
        <f t="shared" si="1"/>
        <v>51.58641 25.250663</v>
      </c>
      <c r="D362" s="30">
        <v>48.0</v>
      </c>
      <c r="E362" s="39" t="s">
        <v>509</v>
      </c>
      <c r="F362" s="40" t="s">
        <v>201</v>
      </c>
      <c r="G362" s="41" t="s">
        <v>190</v>
      </c>
      <c r="H362" s="42">
        <v>46081.0</v>
      </c>
      <c r="I362" s="41" t="s">
        <v>201</v>
      </c>
      <c r="J362" s="41" t="s">
        <v>1271</v>
      </c>
      <c r="K362" s="37" t="s">
        <v>1284</v>
      </c>
      <c r="L362" s="41" t="s">
        <v>1262</v>
      </c>
      <c r="M362" s="41">
        <v>3.0</v>
      </c>
      <c r="N362" s="30" t="s">
        <v>220</v>
      </c>
      <c r="O362" s="30" t="s">
        <v>194</v>
      </c>
      <c r="P362" s="30">
        <v>160.0</v>
      </c>
      <c r="Q362" s="30" t="s">
        <v>195</v>
      </c>
      <c r="R362" s="30" t="s">
        <v>196</v>
      </c>
      <c r="S362" s="30" t="s">
        <v>197</v>
      </c>
      <c r="T362" s="30" t="s">
        <v>1285</v>
      </c>
      <c r="U362" s="30">
        <v>2.0033771E7</v>
      </c>
    </row>
    <row r="363">
      <c r="A363" s="82">
        <v>51.589098</v>
      </c>
      <c r="B363" s="82">
        <v>25.243612</v>
      </c>
      <c r="C363" s="30" t="str">
        <f t="shared" si="1"/>
        <v>51.589098 25.243612</v>
      </c>
      <c r="D363" s="82">
        <v>48.0</v>
      </c>
      <c r="E363" s="83" t="s">
        <v>1286</v>
      </c>
      <c r="F363" s="84" t="s">
        <v>201</v>
      </c>
      <c r="G363" s="85" t="s">
        <v>303</v>
      </c>
      <c r="H363" s="86">
        <v>46074.0</v>
      </c>
      <c r="I363" s="85" t="s">
        <v>201</v>
      </c>
      <c r="J363" s="85" t="s">
        <v>1274</v>
      </c>
      <c r="K363" s="85" t="s">
        <v>1284</v>
      </c>
      <c r="L363" s="85" t="s">
        <v>1262</v>
      </c>
      <c r="M363" s="85">
        <v>3.0</v>
      </c>
      <c r="N363" s="82" t="s">
        <v>220</v>
      </c>
      <c r="O363" s="82" t="s">
        <v>194</v>
      </c>
      <c r="P363" s="82">
        <v>160.0</v>
      </c>
      <c r="Q363" s="82" t="s">
        <v>770</v>
      </c>
      <c r="R363" s="82" t="s">
        <v>254</v>
      </c>
      <c r="S363" s="82" t="s">
        <v>197</v>
      </c>
      <c r="T363" s="82" t="s">
        <v>1273</v>
      </c>
      <c r="U363" s="82">
        <v>2.0033772E7</v>
      </c>
    </row>
    <row r="364">
      <c r="A364" s="30">
        <v>51.588508</v>
      </c>
      <c r="B364" s="30">
        <v>25.23733</v>
      </c>
      <c r="C364" s="30" t="str">
        <f t="shared" si="1"/>
        <v>51.588508 25.23733</v>
      </c>
      <c r="D364" s="30">
        <v>49.0</v>
      </c>
      <c r="E364" s="39" t="s">
        <v>444</v>
      </c>
      <c r="F364" s="40" t="s">
        <v>1287</v>
      </c>
      <c r="G364" s="41" t="s">
        <v>190</v>
      </c>
      <c r="H364" s="42">
        <v>46074.0</v>
      </c>
      <c r="I364" s="41" t="s">
        <v>201</v>
      </c>
      <c r="J364" s="41" t="s">
        <v>1288</v>
      </c>
      <c r="K364" s="37" t="s">
        <v>202</v>
      </c>
      <c r="L364" s="41" t="s">
        <v>1289</v>
      </c>
      <c r="M364" s="41">
        <v>4.0</v>
      </c>
      <c r="N364" s="30" t="s">
        <v>220</v>
      </c>
      <c r="O364" s="30" t="s">
        <v>194</v>
      </c>
      <c r="P364" s="30">
        <v>160.0</v>
      </c>
      <c r="Q364" s="36" t="s">
        <v>1290</v>
      </c>
      <c r="R364" s="36" t="s">
        <v>1062</v>
      </c>
      <c r="S364" s="30" t="s">
        <v>197</v>
      </c>
      <c r="T364" s="30" t="s">
        <v>1291</v>
      </c>
      <c r="U364" s="30">
        <v>2.0033773E7</v>
      </c>
    </row>
    <row r="365">
      <c r="A365" s="30">
        <v>51.46218</v>
      </c>
      <c r="B365" s="30">
        <v>25.457404</v>
      </c>
      <c r="C365" s="30" t="str">
        <f t="shared" si="1"/>
        <v>51.46218 25.457404</v>
      </c>
      <c r="D365" s="30">
        <v>70.0</v>
      </c>
      <c r="E365" s="36" t="s">
        <v>260</v>
      </c>
      <c r="F365" s="32" t="s">
        <v>1292</v>
      </c>
      <c r="G365" s="30" t="s">
        <v>190</v>
      </c>
      <c r="H365" s="33">
        <v>46094.0</v>
      </c>
      <c r="I365" s="30">
        <v>1400195.0</v>
      </c>
      <c r="J365" s="30" t="s">
        <v>201</v>
      </c>
      <c r="K365" s="34" t="s">
        <v>1293</v>
      </c>
      <c r="L365" s="35"/>
      <c r="M365" s="30">
        <v>3.0</v>
      </c>
      <c r="N365" s="30" t="s">
        <v>651</v>
      </c>
      <c r="O365" s="30" t="s">
        <v>194</v>
      </c>
      <c r="P365" s="30">
        <v>160.0</v>
      </c>
      <c r="Q365" s="30" t="s">
        <v>195</v>
      </c>
      <c r="R365" s="30" t="s">
        <v>196</v>
      </c>
      <c r="S365" s="30" t="s">
        <v>197</v>
      </c>
      <c r="T365" s="30" t="s">
        <v>1294</v>
      </c>
      <c r="U365" s="30">
        <v>2.0033774E7</v>
      </c>
    </row>
    <row r="366">
      <c r="A366" s="34">
        <v>51.453916</v>
      </c>
      <c r="B366" s="30">
        <v>25.456391</v>
      </c>
      <c r="C366" s="30" t="str">
        <f t="shared" si="1"/>
        <v>51.453916 25.456391</v>
      </c>
      <c r="D366" s="30">
        <v>70.0</v>
      </c>
      <c r="E366" s="36" t="s">
        <v>454</v>
      </c>
      <c r="F366" s="32" t="s">
        <v>1295</v>
      </c>
      <c r="G366" s="30" t="s">
        <v>190</v>
      </c>
      <c r="H366" s="33">
        <v>46095.0</v>
      </c>
      <c r="I366" s="30">
        <v>1400191.0</v>
      </c>
      <c r="J366" s="30" t="s">
        <v>201</v>
      </c>
      <c r="K366" s="37" t="s">
        <v>202</v>
      </c>
      <c r="L366" s="30" t="s">
        <v>195</v>
      </c>
      <c r="M366" s="30">
        <v>3.0</v>
      </c>
      <c r="N366" s="30" t="s">
        <v>304</v>
      </c>
      <c r="O366" s="30" t="s">
        <v>194</v>
      </c>
      <c r="P366" s="30">
        <v>160.0</v>
      </c>
      <c r="Q366" s="30" t="s">
        <v>195</v>
      </c>
      <c r="R366" s="30" t="s">
        <v>196</v>
      </c>
      <c r="S366" s="30" t="s">
        <v>197</v>
      </c>
      <c r="T366" s="30" t="s">
        <v>1296</v>
      </c>
      <c r="U366" s="30">
        <v>2.0033775E7</v>
      </c>
    </row>
    <row r="367">
      <c r="A367" s="30">
        <v>51.43645</v>
      </c>
      <c r="B367" s="30">
        <v>25.455731</v>
      </c>
      <c r="C367" s="30" t="str">
        <f t="shared" si="1"/>
        <v>51.43645 25.455731</v>
      </c>
      <c r="D367" s="30">
        <v>70.0</v>
      </c>
      <c r="E367" s="36" t="s">
        <v>1297</v>
      </c>
      <c r="F367" s="32" t="s">
        <v>1232</v>
      </c>
      <c r="G367" s="30" t="s">
        <v>190</v>
      </c>
      <c r="H367" s="33">
        <v>46094.0</v>
      </c>
      <c r="I367" s="30">
        <v>1400195.0</v>
      </c>
      <c r="J367" s="30" t="s">
        <v>201</v>
      </c>
      <c r="K367" s="43" t="s">
        <v>202</v>
      </c>
      <c r="L367" s="30" t="s">
        <v>195</v>
      </c>
      <c r="M367" s="30">
        <v>3.0</v>
      </c>
      <c r="N367" s="30" t="s">
        <v>193</v>
      </c>
      <c r="O367" s="30" t="s">
        <v>194</v>
      </c>
      <c r="P367" s="30">
        <v>160.0</v>
      </c>
      <c r="Q367" s="30" t="s">
        <v>195</v>
      </c>
      <c r="R367" s="30" t="s">
        <v>196</v>
      </c>
      <c r="S367" s="30" t="s">
        <v>197</v>
      </c>
      <c r="T367" s="30" t="s">
        <v>1298</v>
      </c>
      <c r="U367" s="30">
        <v>2.0033776E7</v>
      </c>
    </row>
    <row r="368">
      <c r="A368" s="30">
        <v>51.431149</v>
      </c>
      <c r="B368" s="30">
        <v>25.454231</v>
      </c>
      <c r="C368" s="30" t="str">
        <f t="shared" si="1"/>
        <v>51.431149 25.454231</v>
      </c>
      <c r="D368" s="30">
        <v>55.0</v>
      </c>
      <c r="E368" s="39" t="s">
        <v>1299</v>
      </c>
      <c r="F368" s="40" t="s">
        <v>201</v>
      </c>
      <c r="G368" s="34" t="s">
        <v>190</v>
      </c>
      <c r="H368" s="55">
        <v>46081.0</v>
      </c>
      <c r="I368" s="37">
        <v>1393655.0</v>
      </c>
      <c r="J368" s="30" t="s">
        <v>201</v>
      </c>
      <c r="K368" s="43" t="s">
        <v>202</v>
      </c>
      <c r="L368" s="34" t="s">
        <v>195</v>
      </c>
      <c r="M368" s="30">
        <v>3.0</v>
      </c>
      <c r="N368" s="30" t="s">
        <v>356</v>
      </c>
      <c r="O368" s="30" t="s">
        <v>194</v>
      </c>
      <c r="P368" s="30">
        <v>160.0</v>
      </c>
      <c r="Q368" s="30" t="s">
        <v>221</v>
      </c>
      <c r="R368" s="30" t="s">
        <v>222</v>
      </c>
      <c r="S368" s="30" t="s">
        <v>197</v>
      </c>
      <c r="T368" s="30" t="s">
        <v>1300</v>
      </c>
      <c r="U368" s="30">
        <v>2.0033777E7</v>
      </c>
    </row>
    <row r="369">
      <c r="A369" s="87">
        <v>51.42308</v>
      </c>
      <c r="B369" s="87">
        <v>25.452039</v>
      </c>
      <c r="C369" s="30" t="str">
        <f t="shared" si="1"/>
        <v>51.42308 25.452039</v>
      </c>
      <c r="D369" s="87">
        <v>55.0</v>
      </c>
      <c r="E369" s="88" t="s">
        <v>1301</v>
      </c>
      <c r="F369" s="89" t="s">
        <v>1302</v>
      </c>
      <c r="G369" s="87" t="s">
        <v>303</v>
      </c>
      <c r="H369" s="90">
        <v>46072.0</v>
      </c>
      <c r="I369" s="91">
        <v>1393648.0</v>
      </c>
      <c r="J369" s="87" t="s">
        <v>201</v>
      </c>
      <c r="K369" s="92" t="s">
        <v>202</v>
      </c>
      <c r="L369" s="87" t="s">
        <v>195</v>
      </c>
      <c r="M369" s="87">
        <v>3.0</v>
      </c>
      <c r="N369" s="87" t="s">
        <v>356</v>
      </c>
      <c r="O369" s="87" t="s">
        <v>201</v>
      </c>
      <c r="P369" s="87" t="s">
        <v>201</v>
      </c>
      <c r="Q369" s="87" t="s">
        <v>201</v>
      </c>
      <c r="R369" s="87" t="s">
        <v>201</v>
      </c>
      <c r="S369" s="87" t="s">
        <v>201</v>
      </c>
      <c r="T369" s="87" t="s">
        <v>1303</v>
      </c>
      <c r="U369" s="87">
        <v>2.0033778E7</v>
      </c>
    </row>
    <row r="370">
      <c r="A370" s="34">
        <v>51.402132</v>
      </c>
      <c r="B370" s="30">
        <v>25.446528</v>
      </c>
      <c r="C370" s="30" t="str">
        <f t="shared" si="1"/>
        <v>51.402132 25.446528</v>
      </c>
      <c r="D370" s="30">
        <v>71.0</v>
      </c>
      <c r="E370" s="36" t="s">
        <v>479</v>
      </c>
      <c r="F370" s="32" t="s">
        <v>1304</v>
      </c>
      <c r="G370" s="30" t="s">
        <v>190</v>
      </c>
      <c r="H370" s="33">
        <v>46095.0</v>
      </c>
      <c r="I370" s="30">
        <v>1400201.0</v>
      </c>
      <c r="J370" s="30" t="s">
        <v>201</v>
      </c>
      <c r="K370" s="37" t="s">
        <v>202</v>
      </c>
      <c r="L370" s="30" t="s">
        <v>195</v>
      </c>
      <c r="M370" s="30">
        <v>3.0</v>
      </c>
      <c r="N370" s="30" t="s">
        <v>304</v>
      </c>
      <c r="O370" s="30" t="s">
        <v>194</v>
      </c>
      <c r="P370" s="30">
        <v>160.0</v>
      </c>
      <c r="Q370" s="30" t="s">
        <v>195</v>
      </c>
      <c r="R370" s="30" t="s">
        <v>196</v>
      </c>
      <c r="S370" s="30" t="s">
        <v>197</v>
      </c>
      <c r="T370" s="30" t="s">
        <v>1305</v>
      </c>
      <c r="U370" s="30">
        <v>2.0033779E7</v>
      </c>
    </row>
    <row r="371">
      <c r="A371" s="30">
        <v>51.397612</v>
      </c>
      <c r="B371" s="30">
        <v>25.443652</v>
      </c>
      <c r="C371" s="30" t="str">
        <f t="shared" si="1"/>
        <v>51.397612 25.443652</v>
      </c>
      <c r="D371" s="30">
        <v>55.0</v>
      </c>
      <c r="E371" s="36" t="s">
        <v>1306</v>
      </c>
      <c r="F371" s="54" t="s">
        <v>1307</v>
      </c>
      <c r="G371" s="34" t="s">
        <v>190</v>
      </c>
      <c r="H371" s="33">
        <v>46076.0</v>
      </c>
      <c r="I371" s="37">
        <v>1393649.0</v>
      </c>
      <c r="J371" s="30" t="s">
        <v>201</v>
      </c>
      <c r="K371" s="43" t="s">
        <v>202</v>
      </c>
      <c r="L371" s="34" t="s">
        <v>195</v>
      </c>
      <c r="M371" s="30">
        <v>3.0</v>
      </c>
      <c r="N371" s="30" t="s">
        <v>356</v>
      </c>
      <c r="O371" s="30" t="s">
        <v>194</v>
      </c>
      <c r="P371" s="30">
        <v>160.0</v>
      </c>
      <c r="Q371" s="30" t="s">
        <v>195</v>
      </c>
      <c r="R371" s="30" t="s">
        <v>196</v>
      </c>
      <c r="S371" s="30" t="s">
        <v>197</v>
      </c>
      <c r="T371" s="30" t="s">
        <v>1308</v>
      </c>
      <c r="U371" s="30">
        <v>2.003378E7</v>
      </c>
    </row>
    <row r="372">
      <c r="A372" s="30">
        <v>51.394013</v>
      </c>
      <c r="B372" s="30">
        <v>25.440782</v>
      </c>
      <c r="C372" s="30" t="str">
        <f t="shared" si="1"/>
        <v>51.394013 25.440782</v>
      </c>
      <c r="D372" s="30">
        <v>55.0</v>
      </c>
      <c r="E372" s="36" t="s">
        <v>1309</v>
      </c>
      <c r="F372" s="59" t="s">
        <v>1310</v>
      </c>
      <c r="G372" s="37" t="s">
        <v>303</v>
      </c>
      <c r="H372" s="60">
        <v>46072.0</v>
      </c>
      <c r="I372" s="37">
        <v>907087.0</v>
      </c>
      <c r="J372" s="30" t="s">
        <v>201</v>
      </c>
      <c r="K372" s="43" t="s">
        <v>202</v>
      </c>
      <c r="L372" s="34" t="s">
        <v>195</v>
      </c>
      <c r="M372" s="30">
        <v>3.0</v>
      </c>
      <c r="N372" s="30" t="s">
        <v>356</v>
      </c>
      <c r="O372" s="35"/>
      <c r="P372" s="30" t="s">
        <v>201</v>
      </c>
      <c r="Q372" s="30" t="s">
        <v>201</v>
      </c>
      <c r="R372" s="30" t="s">
        <v>201</v>
      </c>
      <c r="S372" s="30" t="s">
        <v>201</v>
      </c>
      <c r="T372" s="30" t="s">
        <v>1311</v>
      </c>
      <c r="U372" s="30">
        <v>2.0033781E7</v>
      </c>
    </row>
    <row r="373">
      <c r="A373" s="34">
        <v>51.389392</v>
      </c>
      <c r="B373" s="30">
        <v>25.438098</v>
      </c>
      <c r="C373" s="30" t="str">
        <f t="shared" si="1"/>
        <v>51.389392 25.438098</v>
      </c>
      <c r="D373" s="30">
        <v>71.0</v>
      </c>
      <c r="E373" s="36" t="s">
        <v>726</v>
      </c>
      <c r="F373" s="32" t="s">
        <v>1312</v>
      </c>
      <c r="G373" s="30" t="s">
        <v>190</v>
      </c>
      <c r="H373" s="33">
        <v>46095.0</v>
      </c>
      <c r="I373" s="30">
        <v>1406627.0</v>
      </c>
      <c r="J373" s="30" t="s">
        <v>201</v>
      </c>
      <c r="K373" s="37" t="s">
        <v>202</v>
      </c>
      <c r="L373" s="30" t="s">
        <v>195</v>
      </c>
      <c r="M373" s="30">
        <v>3.0</v>
      </c>
      <c r="N373" s="30" t="s">
        <v>304</v>
      </c>
      <c r="O373" s="30" t="s">
        <v>194</v>
      </c>
      <c r="P373" s="30">
        <v>160.0</v>
      </c>
      <c r="Q373" s="30" t="s">
        <v>195</v>
      </c>
      <c r="R373" s="30" t="s">
        <v>196</v>
      </c>
      <c r="S373" s="30" t="s">
        <v>197</v>
      </c>
      <c r="T373" s="30" t="s">
        <v>1313</v>
      </c>
      <c r="U373" s="30">
        <v>2.0033782E7</v>
      </c>
    </row>
    <row r="374">
      <c r="A374" s="30">
        <v>51.473637</v>
      </c>
      <c r="B374" s="30">
        <v>25.456341</v>
      </c>
      <c r="C374" s="30" t="str">
        <f t="shared" si="1"/>
        <v>51.473637 25.456341</v>
      </c>
      <c r="D374" s="30">
        <v>55.0</v>
      </c>
      <c r="E374" s="36" t="s">
        <v>244</v>
      </c>
      <c r="F374" s="59" t="s">
        <v>1314</v>
      </c>
      <c r="G374" s="37" t="s">
        <v>190</v>
      </c>
      <c r="H374" s="33">
        <v>46092.0</v>
      </c>
      <c r="I374" s="37">
        <v>1363572.0</v>
      </c>
      <c r="J374" s="30" t="s">
        <v>201</v>
      </c>
      <c r="K374" s="43" t="s">
        <v>202</v>
      </c>
      <c r="L374" s="34" t="s">
        <v>195</v>
      </c>
      <c r="M374" s="30">
        <v>3.0</v>
      </c>
      <c r="N374" s="30" t="s">
        <v>356</v>
      </c>
      <c r="O374" s="30" t="s">
        <v>194</v>
      </c>
      <c r="P374" s="30">
        <v>160.0</v>
      </c>
      <c r="Q374" s="30" t="s">
        <v>195</v>
      </c>
      <c r="R374" s="30" t="s">
        <v>196</v>
      </c>
      <c r="S374" s="30" t="s">
        <v>197</v>
      </c>
      <c r="T374" s="30" t="s">
        <v>1315</v>
      </c>
      <c r="U374" s="30">
        <v>2.0033783E7</v>
      </c>
    </row>
    <row r="375">
      <c r="A375" s="34">
        <v>51.385586</v>
      </c>
      <c r="B375" s="30">
        <v>25.435236</v>
      </c>
      <c r="C375" s="30" t="str">
        <f t="shared" si="1"/>
        <v>51.385586 25.435236</v>
      </c>
      <c r="D375" s="30">
        <v>71.0</v>
      </c>
      <c r="E375" s="36" t="s">
        <v>264</v>
      </c>
      <c r="F375" s="32" t="s">
        <v>1316</v>
      </c>
      <c r="G375" s="30" t="s">
        <v>190</v>
      </c>
      <c r="H375" s="33">
        <v>46095.0</v>
      </c>
      <c r="I375" s="30">
        <v>1406628.0</v>
      </c>
      <c r="J375" s="30" t="s">
        <v>201</v>
      </c>
      <c r="K375" s="37" t="s">
        <v>202</v>
      </c>
      <c r="L375" s="30" t="s">
        <v>195</v>
      </c>
      <c r="M375" s="30">
        <v>3.0</v>
      </c>
      <c r="N375" s="30" t="s">
        <v>304</v>
      </c>
      <c r="O375" s="30" t="s">
        <v>194</v>
      </c>
      <c r="P375" s="30">
        <v>160.0</v>
      </c>
      <c r="Q375" s="30" t="s">
        <v>195</v>
      </c>
      <c r="R375" s="30" t="s">
        <v>196</v>
      </c>
      <c r="S375" s="30" t="s">
        <v>197</v>
      </c>
      <c r="T375" s="30" t="s">
        <v>1317</v>
      </c>
      <c r="U375" s="30">
        <v>2.0033784E7</v>
      </c>
    </row>
    <row r="376">
      <c r="A376" s="34">
        <v>51.378354</v>
      </c>
      <c r="B376" s="30">
        <v>25.429194</v>
      </c>
      <c r="C376" s="30" t="str">
        <f t="shared" si="1"/>
        <v>51.378354 25.429194</v>
      </c>
      <c r="D376" s="30">
        <v>71.0</v>
      </c>
      <c r="E376" s="36" t="s">
        <v>1318</v>
      </c>
      <c r="F376" s="32" t="s">
        <v>1319</v>
      </c>
      <c r="G376" s="30" t="s">
        <v>190</v>
      </c>
      <c r="H376" s="33">
        <v>46095.0</v>
      </c>
      <c r="I376" s="30">
        <v>1406629.0</v>
      </c>
      <c r="J376" s="30" t="s">
        <v>201</v>
      </c>
      <c r="K376" s="37" t="s">
        <v>202</v>
      </c>
      <c r="L376" s="30" t="s">
        <v>195</v>
      </c>
      <c r="M376" s="30">
        <v>3.0</v>
      </c>
      <c r="N376" s="30" t="s">
        <v>304</v>
      </c>
      <c r="O376" s="30" t="s">
        <v>194</v>
      </c>
      <c r="P376" s="30">
        <v>160.0</v>
      </c>
      <c r="Q376" s="30" t="s">
        <v>221</v>
      </c>
      <c r="R376" s="30" t="s">
        <v>1062</v>
      </c>
      <c r="S376" s="30" t="s">
        <v>197</v>
      </c>
      <c r="T376" s="30" t="s">
        <v>1320</v>
      </c>
      <c r="U376" s="30">
        <v>2.0033785E7</v>
      </c>
    </row>
    <row r="377">
      <c r="A377" s="30">
        <v>51.371628</v>
      </c>
      <c r="B377" s="30">
        <v>25.417421</v>
      </c>
      <c r="C377" s="30" t="str">
        <f t="shared" si="1"/>
        <v>51.371628 25.417421</v>
      </c>
      <c r="D377" s="30">
        <v>71.0</v>
      </c>
      <c r="E377" s="36" t="s">
        <v>228</v>
      </c>
      <c r="F377" s="32" t="s">
        <v>1321</v>
      </c>
      <c r="G377" s="30" t="s">
        <v>190</v>
      </c>
      <c r="H377" s="33">
        <v>46095.0</v>
      </c>
      <c r="I377" s="30">
        <v>1406630.0</v>
      </c>
      <c r="J377" s="30" t="s">
        <v>1322</v>
      </c>
      <c r="K377" s="37" t="s">
        <v>202</v>
      </c>
      <c r="L377" s="30" t="s">
        <v>195</v>
      </c>
      <c r="M377" s="30">
        <v>3.0</v>
      </c>
      <c r="N377" s="30" t="s">
        <v>193</v>
      </c>
      <c r="O377" s="30" t="s">
        <v>194</v>
      </c>
      <c r="P377" s="30">
        <v>160.0</v>
      </c>
      <c r="Q377" s="30" t="s">
        <v>195</v>
      </c>
      <c r="R377" s="30" t="s">
        <v>1062</v>
      </c>
      <c r="S377" s="30" t="s">
        <v>197</v>
      </c>
      <c r="T377" s="30" t="s">
        <v>1323</v>
      </c>
      <c r="U377" s="30">
        <v>2.0033786E7</v>
      </c>
    </row>
    <row r="378">
      <c r="A378" s="34">
        <v>51.370779</v>
      </c>
      <c r="B378" s="30">
        <v>25.410725</v>
      </c>
      <c r="C378" s="30" t="str">
        <f t="shared" si="1"/>
        <v>51.370779 25.410725</v>
      </c>
      <c r="D378" s="30">
        <v>71.0</v>
      </c>
      <c r="E378" s="36" t="s">
        <v>266</v>
      </c>
      <c r="F378" s="32" t="s">
        <v>1324</v>
      </c>
      <c r="G378" s="30" t="s">
        <v>190</v>
      </c>
      <c r="H378" s="33">
        <v>46095.0</v>
      </c>
      <c r="I378" s="30">
        <v>1406631.0</v>
      </c>
      <c r="J378" s="30" t="s">
        <v>201</v>
      </c>
      <c r="K378" s="37" t="s">
        <v>202</v>
      </c>
      <c r="L378" s="30" t="s">
        <v>195</v>
      </c>
      <c r="M378" s="30">
        <v>3.0</v>
      </c>
      <c r="N378" s="30" t="s">
        <v>304</v>
      </c>
      <c r="O378" s="30" t="s">
        <v>194</v>
      </c>
      <c r="P378" s="30">
        <v>160.0</v>
      </c>
      <c r="Q378" s="30" t="s">
        <v>221</v>
      </c>
      <c r="R378" s="30" t="s">
        <v>1062</v>
      </c>
      <c r="S378" s="30" t="s">
        <v>197</v>
      </c>
      <c r="T378" s="30" t="s">
        <v>1325</v>
      </c>
      <c r="U378" s="30">
        <v>2.0033787E7</v>
      </c>
    </row>
    <row r="379">
      <c r="A379" s="30">
        <v>51.369376</v>
      </c>
      <c r="B379" s="30">
        <v>25.406382</v>
      </c>
      <c r="C379" s="30" t="str">
        <f t="shared" si="1"/>
        <v>51.369376 25.406382</v>
      </c>
      <c r="D379" s="30">
        <v>71.0</v>
      </c>
      <c r="E379" s="36" t="s">
        <v>482</v>
      </c>
      <c r="F379" s="32" t="s">
        <v>1326</v>
      </c>
      <c r="G379" s="30" t="s">
        <v>190</v>
      </c>
      <c r="H379" s="33">
        <v>46095.0</v>
      </c>
      <c r="I379" s="30">
        <v>1406632.0</v>
      </c>
      <c r="J379" s="30" t="s">
        <v>1327</v>
      </c>
      <c r="K379" s="43" t="s">
        <v>202</v>
      </c>
      <c r="L379" s="30" t="s">
        <v>365</v>
      </c>
      <c r="M379" s="30">
        <v>3.0</v>
      </c>
      <c r="N379" s="30" t="s">
        <v>216</v>
      </c>
      <c r="O379" s="30" t="s">
        <v>194</v>
      </c>
      <c r="P379" s="30">
        <v>160.0</v>
      </c>
      <c r="Q379" s="30" t="s">
        <v>195</v>
      </c>
      <c r="R379" s="30" t="s">
        <v>1062</v>
      </c>
      <c r="S379" s="30" t="s">
        <v>197</v>
      </c>
      <c r="T379" s="30" t="s">
        <v>1328</v>
      </c>
      <c r="U379" s="30">
        <v>2.0033788E7</v>
      </c>
    </row>
    <row r="380">
      <c r="A380" s="30">
        <v>51.362015</v>
      </c>
      <c r="B380" s="30">
        <v>25.387154</v>
      </c>
      <c r="C380" s="30" t="str">
        <f t="shared" si="1"/>
        <v>51.362015 25.387154</v>
      </c>
      <c r="D380" s="30">
        <v>71.0</v>
      </c>
      <c r="E380" s="36" t="s">
        <v>293</v>
      </c>
      <c r="F380" s="32" t="s">
        <v>633</v>
      </c>
      <c r="G380" s="30" t="s">
        <v>190</v>
      </c>
      <c r="H380" s="33">
        <v>46095.0</v>
      </c>
      <c r="I380" s="30">
        <v>1406633.0</v>
      </c>
      <c r="J380" s="30" t="s">
        <v>1329</v>
      </c>
      <c r="K380" s="34" t="s">
        <v>252</v>
      </c>
      <c r="L380" s="30" t="s">
        <v>195</v>
      </c>
      <c r="M380" s="30">
        <v>3.0</v>
      </c>
      <c r="N380" s="30" t="s">
        <v>193</v>
      </c>
      <c r="O380" s="30" t="s">
        <v>194</v>
      </c>
      <c r="P380" s="30">
        <v>160.0</v>
      </c>
      <c r="Q380" s="30" t="s">
        <v>195</v>
      </c>
      <c r="R380" s="30" t="s">
        <v>1062</v>
      </c>
      <c r="S380" s="30" t="s">
        <v>197</v>
      </c>
      <c r="T380" s="30" t="s">
        <v>1330</v>
      </c>
      <c r="U380" s="30">
        <v>2.0033789E7</v>
      </c>
    </row>
    <row r="381">
      <c r="A381" s="30">
        <v>51.364095</v>
      </c>
      <c r="B381" s="30">
        <v>25.369101</v>
      </c>
      <c r="C381" s="30" t="str">
        <f t="shared" si="1"/>
        <v>51.364095 25.369101</v>
      </c>
      <c r="D381" s="30">
        <v>71.0</v>
      </c>
      <c r="E381" s="36" t="s">
        <v>289</v>
      </c>
      <c r="F381" s="32" t="s">
        <v>1331</v>
      </c>
      <c r="G381" s="30" t="s">
        <v>190</v>
      </c>
      <c r="H381" s="33">
        <v>46095.0</v>
      </c>
      <c r="I381" s="30">
        <v>1406634.0</v>
      </c>
      <c r="J381" s="30" t="s">
        <v>1332</v>
      </c>
      <c r="K381" s="43" t="s">
        <v>202</v>
      </c>
      <c r="L381" s="30" t="s">
        <v>247</v>
      </c>
      <c r="M381" s="30">
        <v>3.0</v>
      </c>
      <c r="N381" s="30" t="s">
        <v>216</v>
      </c>
      <c r="O381" s="30" t="s">
        <v>194</v>
      </c>
      <c r="P381" s="30">
        <v>160.0</v>
      </c>
      <c r="Q381" s="30" t="s">
        <v>221</v>
      </c>
      <c r="R381" s="30" t="s">
        <v>1062</v>
      </c>
      <c r="S381" s="30" t="s">
        <v>197</v>
      </c>
      <c r="T381" s="30" t="s">
        <v>1333</v>
      </c>
      <c r="U381" s="30">
        <v>2.003379E7</v>
      </c>
    </row>
    <row r="382">
      <c r="A382" s="30">
        <v>51.363636</v>
      </c>
      <c r="B382" s="30">
        <v>25.360164</v>
      </c>
      <c r="C382" s="30" t="str">
        <f t="shared" si="1"/>
        <v>51.363636 25.360164</v>
      </c>
      <c r="D382" s="30">
        <v>51.0</v>
      </c>
      <c r="E382" s="36" t="s">
        <v>509</v>
      </c>
      <c r="F382" s="32" t="s">
        <v>1334</v>
      </c>
      <c r="G382" s="30" t="s">
        <v>190</v>
      </c>
      <c r="H382" s="33">
        <v>46095.0</v>
      </c>
      <c r="I382" s="30">
        <v>1400190.0</v>
      </c>
      <c r="J382" s="30" t="s">
        <v>1335</v>
      </c>
      <c r="K382" s="34" t="s">
        <v>252</v>
      </c>
      <c r="L382" s="35"/>
      <c r="M382" s="30">
        <v>2.0</v>
      </c>
      <c r="N382" s="30" t="s">
        <v>193</v>
      </c>
      <c r="O382" s="30" t="s">
        <v>194</v>
      </c>
      <c r="P382" s="30">
        <v>160.0</v>
      </c>
      <c r="Q382" s="30" t="s">
        <v>195</v>
      </c>
      <c r="R382" s="30" t="s">
        <v>1062</v>
      </c>
      <c r="S382" s="30" t="s">
        <v>197</v>
      </c>
      <c r="T382" s="30" t="s">
        <v>1336</v>
      </c>
      <c r="U382" s="30">
        <v>2.0033791E7</v>
      </c>
    </row>
    <row r="383">
      <c r="A383" s="30">
        <v>51.36026</v>
      </c>
      <c r="B383" s="30">
        <v>25.351644</v>
      </c>
      <c r="C383" s="30" t="str">
        <f t="shared" si="1"/>
        <v>51.36026 25.351644</v>
      </c>
      <c r="D383" s="30">
        <v>51.0</v>
      </c>
      <c r="E383" s="36" t="s">
        <v>1337</v>
      </c>
      <c r="F383" s="32" t="s">
        <v>1338</v>
      </c>
      <c r="G383" s="30" t="s">
        <v>190</v>
      </c>
      <c r="H383" s="33">
        <v>46095.0</v>
      </c>
      <c r="I383" s="30">
        <v>1400209.0</v>
      </c>
      <c r="J383" s="30" t="s">
        <v>1327</v>
      </c>
      <c r="K383" s="43" t="s">
        <v>202</v>
      </c>
      <c r="L383" s="30" t="s">
        <v>247</v>
      </c>
      <c r="M383" s="30">
        <v>3.0</v>
      </c>
      <c r="N383" s="30" t="s">
        <v>216</v>
      </c>
      <c r="O383" s="30" t="s">
        <v>194</v>
      </c>
      <c r="P383" s="30">
        <v>160.0</v>
      </c>
      <c r="Q383" s="30" t="s">
        <v>221</v>
      </c>
      <c r="R383" s="30" t="s">
        <v>222</v>
      </c>
      <c r="S383" s="30" t="s">
        <v>197</v>
      </c>
      <c r="T383" s="30" t="s">
        <v>1339</v>
      </c>
      <c r="U383" s="30">
        <v>2.0033792E7</v>
      </c>
    </row>
    <row r="384">
      <c r="A384" s="30">
        <v>51.35791</v>
      </c>
      <c r="B384" s="30">
        <v>25.350637</v>
      </c>
      <c r="C384" s="30" t="str">
        <f t="shared" si="1"/>
        <v>51.35791 25.350637</v>
      </c>
      <c r="D384" s="30">
        <v>51.0</v>
      </c>
      <c r="E384" s="36" t="s">
        <v>444</v>
      </c>
      <c r="F384" s="32" t="s">
        <v>1279</v>
      </c>
      <c r="G384" s="30" t="s">
        <v>190</v>
      </c>
      <c r="H384" s="33">
        <v>46095.0</v>
      </c>
      <c r="I384" s="30">
        <v>1400208.0</v>
      </c>
      <c r="J384" s="30" t="s">
        <v>1340</v>
      </c>
      <c r="K384" s="34" t="s">
        <v>252</v>
      </c>
      <c r="L384" s="30" t="s">
        <v>195</v>
      </c>
      <c r="M384" s="30">
        <v>2.0</v>
      </c>
      <c r="N384" s="30" t="s">
        <v>193</v>
      </c>
      <c r="O384" s="30" t="s">
        <v>194</v>
      </c>
      <c r="P384" s="30">
        <v>160.0</v>
      </c>
      <c r="Q384" s="30" t="s">
        <v>195</v>
      </c>
      <c r="R384" s="30" t="s">
        <v>1062</v>
      </c>
      <c r="S384" s="30" t="s">
        <v>197</v>
      </c>
      <c r="T384" s="30" t="s">
        <v>1341</v>
      </c>
      <c r="U384" s="30">
        <v>2.0033793E7</v>
      </c>
    </row>
    <row r="385">
      <c r="A385" s="30">
        <v>51.356548</v>
      </c>
      <c r="B385" s="30">
        <v>25.348503</v>
      </c>
      <c r="C385" s="30" t="str">
        <f t="shared" si="1"/>
        <v>51.356548 25.348503</v>
      </c>
      <c r="D385" s="30">
        <v>51.0</v>
      </c>
      <c r="E385" s="36" t="s">
        <v>532</v>
      </c>
      <c r="F385" s="32" t="s">
        <v>408</v>
      </c>
      <c r="G385" s="30" t="s">
        <v>190</v>
      </c>
      <c r="H385" s="33">
        <v>46095.0</v>
      </c>
      <c r="I385" s="30">
        <v>1400207.0</v>
      </c>
      <c r="J385" s="30" t="s">
        <v>1342</v>
      </c>
      <c r="K385" s="43" t="s">
        <v>202</v>
      </c>
      <c r="L385" s="30" t="s">
        <v>247</v>
      </c>
      <c r="M385" s="30">
        <v>4.0</v>
      </c>
      <c r="N385" s="30" t="s">
        <v>216</v>
      </c>
      <c r="O385" s="30" t="s">
        <v>194</v>
      </c>
      <c r="P385" s="30">
        <v>160.0</v>
      </c>
      <c r="Q385" s="30" t="s">
        <v>221</v>
      </c>
      <c r="R385" s="30" t="s">
        <v>222</v>
      </c>
      <c r="S385" s="30" t="s">
        <v>197</v>
      </c>
      <c r="T385" s="30" t="s">
        <v>1343</v>
      </c>
      <c r="U385" s="30">
        <v>2.0033794E7</v>
      </c>
    </row>
    <row r="386">
      <c r="A386" s="30">
        <v>51.354064</v>
      </c>
      <c r="B386" s="30">
        <v>25.348091</v>
      </c>
      <c r="C386" s="30" t="str">
        <f t="shared" si="1"/>
        <v>51.354064 25.348091</v>
      </c>
      <c r="D386" s="30">
        <v>51.0</v>
      </c>
      <c r="E386" s="36" t="s">
        <v>199</v>
      </c>
      <c r="F386" s="32" t="s">
        <v>1344</v>
      </c>
      <c r="G386" s="30" t="s">
        <v>190</v>
      </c>
      <c r="H386" s="33">
        <v>46095.0</v>
      </c>
      <c r="I386" s="30">
        <v>1400206.0</v>
      </c>
      <c r="J386" s="30" t="s">
        <v>1345</v>
      </c>
      <c r="K386" s="34" t="s">
        <v>252</v>
      </c>
      <c r="L386" s="30" t="s">
        <v>195</v>
      </c>
      <c r="M386" s="30">
        <v>2.0</v>
      </c>
      <c r="N386" s="30" t="s">
        <v>193</v>
      </c>
      <c r="O386" s="30" t="s">
        <v>194</v>
      </c>
      <c r="P386" s="30">
        <v>160.0</v>
      </c>
      <c r="Q386" s="30" t="s">
        <v>195</v>
      </c>
      <c r="R386" s="30" t="s">
        <v>1062</v>
      </c>
      <c r="S386" s="30" t="s">
        <v>197</v>
      </c>
      <c r="T386" s="30" t="s">
        <v>1346</v>
      </c>
      <c r="U386" s="30">
        <v>2.0033795E7</v>
      </c>
    </row>
    <row r="387">
      <c r="A387" s="30">
        <v>51.350847</v>
      </c>
      <c r="B387" s="30">
        <v>25.345151</v>
      </c>
      <c r="C387" s="30" t="str">
        <f t="shared" si="1"/>
        <v>51.350847 25.345151</v>
      </c>
      <c r="D387" s="30">
        <v>51.0</v>
      </c>
      <c r="E387" s="36" t="s">
        <v>489</v>
      </c>
      <c r="F387" s="32" t="s">
        <v>1347</v>
      </c>
      <c r="G387" s="30" t="s">
        <v>190</v>
      </c>
      <c r="H387" s="33">
        <v>46095.0</v>
      </c>
      <c r="I387" s="30">
        <v>1400205.0</v>
      </c>
      <c r="J387" s="30" t="s">
        <v>1332</v>
      </c>
      <c r="K387" s="43" t="s">
        <v>202</v>
      </c>
      <c r="L387" s="30" t="s">
        <v>247</v>
      </c>
      <c r="M387" s="30">
        <v>3.0</v>
      </c>
      <c r="N387" s="30" t="s">
        <v>216</v>
      </c>
      <c r="O387" s="30" t="s">
        <v>194</v>
      </c>
      <c r="P387" s="30">
        <v>160.0</v>
      </c>
      <c r="Q387" s="30" t="s">
        <v>195</v>
      </c>
      <c r="R387" s="30" t="s">
        <v>1062</v>
      </c>
      <c r="S387" s="30" t="s">
        <v>197</v>
      </c>
      <c r="T387" s="30" t="s">
        <v>1348</v>
      </c>
      <c r="U387" s="30">
        <v>2.0033796E7</v>
      </c>
    </row>
    <row r="388">
      <c r="A388" s="30">
        <v>51.349462</v>
      </c>
      <c r="B388" s="30">
        <v>25.345559</v>
      </c>
      <c r="C388" s="30" t="str">
        <f t="shared" si="1"/>
        <v>51.349462 25.345559</v>
      </c>
      <c r="D388" s="30">
        <v>51.0</v>
      </c>
      <c r="E388" s="36" t="s">
        <v>513</v>
      </c>
      <c r="F388" s="32" t="s">
        <v>349</v>
      </c>
      <c r="G388" s="30" t="s">
        <v>190</v>
      </c>
      <c r="H388" s="33">
        <v>46095.0</v>
      </c>
      <c r="I388" s="30">
        <v>1400204.0</v>
      </c>
      <c r="J388" s="30" t="s">
        <v>1349</v>
      </c>
      <c r="K388" s="34" t="s">
        <v>252</v>
      </c>
      <c r="L388" s="30" t="s">
        <v>195</v>
      </c>
      <c r="M388" s="30">
        <v>2.0</v>
      </c>
      <c r="N388" s="30" t="s">
        <v>193</v>
      </c>
      <c r="O388" s="30" t="s">
        <v>194</v>
      </c>
      <c r="P388" s="30">
        <v>160.0</v>
      </c>
      <c r="Q388" s="30" t="s">
        <v>195</v>
      </c>
      <c r="R388" s="30" t="s">
        <v>1062</v>
      </c>
      <c r="S388" s="30" t="s">
        <v>197</v>
      </c>
      <c r="T388" s="30" t="s">
        <v>1350</v>
      </c>
      <c r="U388" s="30">
        <v>2.0033797E7</v>
      </c>
    </row>
    <row r="389">
      <c r="A389" s="30">
        <v>51.344347</v>
      </c>
      <c r="B389" s="30">
        <v>25.341056</v>
      </c>
      <c r="C389" s="30" t="str">
        <f t="shared" si="1"/>
        <v>51.344347 25.341056</v>
      </c>
      <c r="D389" s="30">
        <v>51.0</v>
      </c>
      <c r="E389" s="36" t="s">
        <v>329</v>
      </c>
      <c r="F389" s="32" t="s">
        <v>1351</v>
      </c>
      <c r="G389" s="30" t="s">
        <v>190</v>
      </c>
      <c r="H389" s="33">
        <v>46095.0</v>
      </c>
      <c r="I389" s="30">
        <v>1400203.0</v>
      </c>
      <c r="J389" s="30" t="s">
        <v>1332</v>
      </c>
      <c r="K389" s="43" t="s">
        <v>202</v>
      </c>
      <c r="L389" s="30" t="s">
        <v>247</v>
      </c>
      <c r="M389" s="30">
        <v>3.0</v>
      </c>
      <c r="N389" s="30" t="s">
        <v>216</v>
      </c>
      <c r="O389" s="30" t="s">
        <v>194</v>
      </c>
      <c r="P389" s="30">
        <v>160.0</v>
      </c>
      <c r="Q389" s="30" t="s">
        <v>195</v>
      </c>
      <c r="R389" s="30" t="s">
        <v>1062</v>
      </c>
      <c r="S389" s="30" t="s">
        <v>197</v>
      </c>
      <c r="T389" s="30" t="s">
        <v>1352</v>
      </c>
      <c r="U389" s="30">
        <v>2.0033798E7</v>
      </c>
    </row>
    <row r="390">
      <c r="A390" s="34">
        <v>51.346038</v>
      </c>
      <c r="B390" s="30">
        <v>25.339554</v>
      </c>
      <c r="C390" s="30" t="str">
        <f t="shared" si="1"/>
        <v>51.346038 25.339554</v>
      </c>
      <c r="D390" s="30">
        <v>51.0</v>
      </c>
      <c r="E390" s="36" t="s">
        <v>536</v>
      </c>
      <c r="F390" s="32" t="s">
        <v>1353</v>
      </c>
      <c r="G390" s="30" t="s">
        <v>190</v>
      </c>
      <c r="H390" s="33">
        <v>46095.0</v>
      </c>
      <c r="I390" s="30">
        <v>1400202.0</v>
      </c>
      <c r="J390" s="30" t="s">
        <v>201</v>
      </c>
      <c r="K390" s="37" t="s">
        <v>202</v>
      </c>
      <c r="L390" s="30" t="s">
        <v>195</v>
      </c>
      <c r="M390" s="30">
        <v>3.0</v>
      </c>
      <c r="N390" s="30" t="s">
        <v>304</v>
      </c>
      <c r="O390" s="30" t="s">
        <v>194</v>
      </c>
      <c r="P390" s="30">
        <v>160.0</v>
      </c>
      <c r="Q390" s="30" t="s">
        <v>221</v>
      </c>
      <c r="R390" s="30" t="s">
        <v>1062</v>
      </c>
      <c r="S390" s="30" t="s">
        <v>197</v>
      </c>
      <c r="T390" s="30" t="s">
        <v>1354</v>
      </c>
      <c r="U390" s="30">
        <v>2.0033799E7</v>
      </c>
    </row>
    <row r="391">
      <c r="A391" s="34">
        <v>51.337445</v>
      </c>
      <c r="B391" s="30">
        <v>25.337369</v>
      </c>
      <c r="C391" s="30" t="str">
        <f t="shared" si="1"/>
        <v>51.337445 25.337369</v>
      </c>
      <c r="D391" s="30">
        <v>51.0</v>
      </c>
      <c r="E391" s="36" t="s">
        <v>420</v>
      </c>
      <c r="F391" s="32" t="s">
        <v>1355</v>
      </c>
      <c r="G391" s="30" t="s">
        <v>190</v>
      </c>
      <c r="H391" s="33">
        <v>46095.0</v>
      </c>
      <c r="I391" s="30">
        <v>1400200.0</v>
      </c>
      <c r="J391" s="30" t="s">
        <v>201</v>
      </c>
      <c r="K391" s="37" t="s">
        <v>202</v>
      </c>
      <c r="L391" s="30" t="s">
        <v>195</v>
      </c>
      <c r="M391" s="30">
        <v>3.0</v>
      </c>
      <c r="N391" s="30" t="s">
        <v>304</v>
      </c>
      <c r="O391" s="30" t="s">
        <v>194</v>
      </c>
      <c r="P391" s="30">
        <v>160.0</v>
      </c>
      <c r="Q391" s="30" t="s">
        <v>221</v>
      </c>
      <c r="R391" s="30" t="s">
        <v>1062</v>
      </c>
      <c r="S391" s="30" t="s">
        <v>197</v>
      </c>
      <c r="T391" s="30" t="s">
        <v>1356</v>
      </c>
      <c r="U391" s="30">
        <v>2.00338E7</v>
      </c>
    </row>
    <row r="392">
      <c r="A392" s="30">
        <v>51.321986</v>
      </c>
      <c r="B392" s="30">
        <v>25.343546</v>
      </c>
      <c r="C392" s="30" t="str">
        <f t="shared" si="1"/>
        <v>51.321986 25.343546</v>
      </c>
      <c r="D392" s="30">
        <v>51.0</v>
      </c>
      <c r="E392" s="36" t="s">
        <v>1357</v>
      </c>
      <c r="F392" s="32" t="s">
        <v>1358</v>
      </c>
      <c r="G392" s="30" t="s">
        <v>190</v>
      </c>
      <c r="H392" s="33">
        <v>46088.0</v>
      </c>
      <c r="I392" s="30">
        <v>1400198.0</v>
      </c>
      <c r="J392" s="30" t="s">
        <v>1359</v>
      </c>
      <c r="K392" s="34" t="s">
        <v>252</v>
      </c>
      <c r="L392" s="35"/>
      <c r="M392" s="30">
        <v>3.0</v>
      </c>
      <c r="N392" s="30" t="s">
        <v>193</v>
      </c>
      <c r="O392" s="30" t="s">
        <v>194</v>
      </c>
      <c r="P392" s="30">
        <v>160.0</v>
      </c>
      <c r="Q392" s="30" t="s">
        <v>195</v>
      </c>
      <c r="R392" s="30" t="s">
        <v>1062</v>
      </c>
      <c r="S392" s="30" t="s">
        <v>197</v>
      </c>
      <c r="T392" s="30" t="s">
        <v>1360</v>
      </c>
      <c r="U392" s="30">
        <v>2.0033801E7</v>
      </c>
    </row>
    <row r="393">
      <c r="A393" s="30">
        <v>51.322094</v>
      </c>
      <c r="B393" s="30">
        <v>25.331546</v>
      </c>
      <c r="C393" s="30" t="str">
        <f t="shared" si="1"/>
        <v>51.322094 25.331546</v>
      </c>
      <c r="D393" s="30">
        <v>53.0</v>
      </c>
      <c r="E393" s="36" t="s">
        <v>496</v>
      </c>
      <c r="F393" s="32" t="s">
        <v>1361</v>
      </c>
      <c r="G393" s="30" t="s">
        <v>190</v>
      </c>
      <c r="H393" s="33">
        <v>46099.0</v>
      </c>
      <c r="I393" s="30">
        <v>1400196.0</v>
      </c>
      <c r="J393" s="30" t="s">
        <v>201</v>
      </c>
      <c r="K393" s="37" t="s">
        <v>202</v>
      </c>
      <c r="L393" s="35"/>
      <c r="M393" s="30">
        <v>3.0</v>
      </c>
      <c r="N393" s="30" t="s">
        <v>356</v>
      </c>
      <c r="O393" s="30" t="s">
        <v>194</v>
      </c>
      <c r="P393" s="30">
        <v>160.0</v>
      </c>
      <c r="Q393" s="30" t="s">
        <v>195</v>
      </c>
      <c r="R393" s="30" t="s">
        <v>1062</v>
      </c>
      <c r="S393" s="30" t="s">
        <v>197</v>
      </c>
      <c r="T393" s="30" t="s">
        <v>1362</v>
      </c>
      <c r="U393" s="30">
        <v>2.0033802E7</v>
      </c>
    </row>
    <row r="394">
      <c r="A394" s="30">
        <v>51.329478</v>
      </c>
      <c r="B394" s="30">
        <v>25.32513</v>
      </c>
      <c r="C394" s="30" t="str">
        <f t="shared" si="1"/>
        <v>51.329478 25.32513</v>
      </c>
      <c r="D394" s="30">
        <v>53.0</v>
      </c>
      <c r="E394" s="36" t="s">
        <v>1363</v>
      </c>
      <c r="F394" s="32" t="s">
        <v>1364</v>
      </c>
      <c r="G394" s="30" t="s">
        <v>190</v>
      </c>
      <c r="H394" s="33">
        <v>46099.0</v>
      </c>
      <c r="I394" s="30">
        <v>1400194.0</v>
      </c>
      <c r="J394" s="30" t="s">
        <v>201</v>
      </c>
      <c r="K394" s="37" t="s">
        <v>202</v>
      </c>
      <c r="L394" s="35"/>
      <c r="M394" s="30">
        <v>3.0</v>
      </c>
      <c r="N394" s="30" t="s">
        <v>356</v>
      </c>
      <c r="O394" s="30" t="s">
        <v>194</v>
      </c>
      <c r="P394" s="30">
        <v>160.0</v>
      </c>
      <c r="Q394" s="30" t="s">
        <v>195</v>
      </c>
      <c r="R394" s="30" t="s">
        <v>1062</v>
      </c>
      <c r="S394" s="30" t="s">
        <v>197</v>
      </c>
      <c r="T394" s="30" t="s">
        <v>1365</v>
      </c>
      <c r="U394" s="30">
        <v>2.0033803E7</v>
      </c>
    </row>
    <row r="395">
      <c r="A395" s="30">
        <v>51.325057</v>
      </c>
      <c r="B395" s="30">
        <v>25.320695</v>
      </c>
      <c r="C395" s="30" t="str">
        <f t="shared" si="1"/>
        <v>51.325057 25.320695</v>
      </c>
      <c r="D395" s="30">
        <v>53.0</v>
      </c>
      <c r="E395" s="36" t="s">
        <v>519</v>
      </c>
      <c r="F395" s="32" t="s">
        <v>1366</v>
      </c>
      <c r="G395" s="30" t="s">
        <v>190</v>
      </c>
      <c r="H395" s="33">
        <v>46099.0</v>
      </c>
      <c r="I395" s="30">
        <v>1400193.0</v>
      </c>
      <c r="J395" s="30" t="s">
        <v>201</v>
      </c>
      <c r="K395" s="37" t="s">
        <v>202</v>
      </c>
      <c r="L395" s="35"/>
      <c r="M395" s="30">
        <v>3.0</v>
      </c>
      <c r="N395" s="30" t="s">
        <v>356</v>
      </c>
      <c r="O395" s="30" t="s">
        <v>194</v>
      </c>
      <c r="P395" s="30">
        <v>160.0</v>
      </c>
      <c r="Q395" s="30" t="s">
        <v>195</v>
      </c>
      <c r="R395" s="30" t="s">
        <v>1062</v>
      </c>
      <c r="S395" s="30" t="s">
        <v>197</v>
      </c>
      <c r="T395" s="30" t="s">
        <v>1367</v>
      </c>
      <c r="U395" s="30">
        <v>2.0033804E7</v>
      </c>
    </row>
    <row r="396">
      <c r="A396" s="30">
        <v>51.322876</v>
      </c>
      <c r="B396" s="30">
        <v>25.321256</v>
      </c>
      <c r="C396" s="30" t="str">
        <f t="shared" si="1"/>
        <v>51.322876 25.321256</v>
      </c>
      <c r="D396" s="30">
        <v>53.0</v>
      </c>
      <c r="E396" s="36" t="s">
        <v>414</v>
      </c>
      <c r="F396" s="32" t="s">
        <v>330</v>
      </c>
      <c r="G396" s="30" t="s">
        <v>190</v>
      </c>
      <c r="H396" s="33">
        <v>46095.0</v>
      </c>
      <c r="I396" s="30">
        <v>1400192.0</v>
      </c>
      <c r="J396" s="30" t="s">
        <v>201</v>
      </c>
      <c r="K396" s="43" t="s">
        <v>202</v>
      </c>
      <c r="L396" s="30" t="s">
        <v>195</v>
      </c>
      <c r="M396" s="30">
        <v>3.0</v>
      </c>
      <c r="N396" s="30" t="s">
        <v>356</v>
      </c>
      <c r="O396" s="30" t="s">
        <v>194</v>
      </c>
      <c r="P396" s="30">
        <v>160.0</v>
      </c>
      <c r="Q396" s="30" t="s">
        <v>195</v>
      </c>
      <c r="R396" s="30" t="s">
        <v>1062</v>
      </c>
      <c r="S396" s="30" t="s">
        <v>197</v>
      </c>
      <c r="T396" s="30" t="s">
        <v>1368</v>
      </c>
      <c r="U396" s="30">
        <v>2.0033805E7</v>
      </c>
    </row>
    <row r="397">
      <c r="A397" s="30">
        <v>51.322599</v>
      </c>
      <c r="B397" s="30">
        <v>25.318396</v>
      </c>
      <c r="C397" s="30" t="str">
        <f t="shared" si="1"/>
        <v>51.322599 25.318396</v>
      </c>
      <c r="D397" s="30">
        <v>53.0</v>
      </c>
      <c r="E397" s="36" t="s">
        <v>269</v>
      </c>
      <c r="F397" s="32" t="s">
        <v>1230</v>
      </c>
      <c r="G397" s="30" t="s">
        <v>190</v>
      </c>
      <c r="H397" s="33">
        <v>46099.0</v>
      </c>
      <c r="I397" s="30">
        <v>1400174.0</v>
      </c>
      <c r="J397" s="30" t="s">
        <v>201</v>
      </c>
      <c r="K397" s="37" t="s">
        <v>202</v>
      </c>
      <c r="L397" s="35"/>
      <c r="M397" s="30">
        <v>3.0</v>
      </c>
      <c r="N397" s="30" t="s">
        <v>356</v>
      </c>
      <c r="O397" s="30" t="s">
        <v>194</v>
      </c>
      <c r="P397" s="30">
        <v>160.0</v>
      </c>
      <c r="Q397" s="30" t="s">
        <v>195</v>
      </c>
      <c r="R397" s="30" t="s">
        <v>1062</v>
      </c>
      <c r="S397" s="30" t="s">
        <v>197</v>
      </c>
      <c r="T397" s="30" t="s">
        <v>1369</v>
      </c>
      <c r="U397" s="30">
        <v>2.0033806E7</v>
      </c>
    </row>
    <row r="398">
      <c r="A398" s="30">
        <v>51.318007</v>
      </c>
      <c r="B398" s="30">
        <v>25.314492</v>
      </c>
      <c r="C398" s="30" t="str">
        <f t="shared" si="1"/>
        <v>51.318007 25.314492</v>
      </c>
      <c r="D398" s="30">
        <v>53.0</v>
      </c>
      <c r="E398" s="36" t="s">
        <v>435</v>
      </c>
      <c r="F398" s="32" t="s">
        <v>1370</v>
      </c>
      <c r="G398" s="30" t="s">
        <v>657</v>
      </c>
      <c r="H398" s="33">
        <v>46099.0</v>
      </c>
      <c r="I398" s="30">
        <v>1400175.0</v>
      </c>
      <c r="J398" s="30" t="s">
        <v>201</v>
      </c>
      <c r="K398" s="37" t="s">
        <v>202</v>
      </c>
      <c r="L398" s="35"/>
      <c r="M398" s="30">
        <v>3.0</v>
      </c>
      <c r="N398" s="30" t="s">
        <v>356</v>
      </c>
      <c r="O398" s="30" t="s">
        <v>194</v>
      </c>
      <c r="P398" s="30">
        <v>160.0</v>
      </c>
      <c r="Q398" s="30" t="s">
        <v>195</v>
      </c>
      <c r="R398" s="30" t="s">
        <v>1062</v>
      </c>
      <c r="S398" s="30" t="s">
        <v>197</v>
      </c>
      <c r="T398" s="30" t="s">
        <v>1371</v>
      </c>
      <c r="U398" s="30">
        <v>2.0033807E7</v>
      </c>
    </row>
    <row r="399">
      <c r="A399" s="30">
        <v>51.317753</v>
      </c>
      <c r="B399" s="30">
        <v>25.311648</v>
      </c>
      <c r="C399" s="30" t="str">
        <f t="shared" si="1"/>
        <v>51.317753 25.311648</v>
      </c>
      <c r="D399" s="30">
        <v>53.0</v>
      </c>
      <c r="E399" s="36" t="s">
        <v>275</v>
      </c>
      <c r="F399" s="32" t="s">
        <v>1372</v>
      </c>
      <c r="G399" s="30" t="s">
        <v>190</v>
      </c>
      <c r="H399" s="33">
        <v>46095.0</v>
      </c>
      <c r="I399" s="30">
        <v>1400176.0</v>
      </c>
      <c r="J399" s="30" t="s">
        <v>201</v>
      </c>
      <c r="K399" s="43" t="s">
        <v>202</v>
      </c>
      <c r="L399" s="30" t="s">
        <v>195</v>
      </c>
      <c r="M399" s="30">
        <v>3.0</v>
      </c>
      <c r="N399" s="30" t="s">
        <v>356</v>
      </c>
      <c r="O399" s="30" t="s">
        <v>194</v>
      </c>
      <c r="P399" s="30">
        <v>160.0</v>
      </c>
      <c r="Q399" s="30" t="s">
        <v>195</v>
      </c>
      <c r="R399" s="30" t="s">
        <v>1062</v>
      </c>
      <c r="S399" s="30" t="s">
        <v>197</v>
      </c>
      <c r="T399" s="30" t="s">
        <v>1373</v>
      </c>
      <c r="U399" s="30">
        <v>2.0033808E7</v>
      </c>
    </row>
    <row r="400">
      <c r="A400" s="30">
        <v>51.310423</v>
      </c>
      <c r="B400" s="30">
        <v>25.304069</v>
      </c>
      <c r="C400" s="30" t="str">
        <f t="shared" si="1"/>
        <v>51.310423 25.304069</v>
      </c>
      <c r="D400" s="30">
        <v>80.0</v>
      </c>
      <c r="E400" s="36" t="s">
        <v>1374</v>
      </c>
      <c r="F400" s="32" t="s">
        <v>1375</v>
      </c>
      <c r="G400" s="30" t="s">
        <v>190</v>
      </c>
      <c r="H400" s="33">
        <v>46095.0</v>
      </c>
      <c r="I400" s="30">
        <v>1400177.0</v>
      </c>
      <c r="J400" s="30" t="s">
        <v>201</v>
      </c>
      <c r="K400" s="43" t="s">
        <v>202</v>
      </c>
      <c r="L400" s="30" t="s">
        <v>195</v>
      </c>
      <c r="M400" s="30">
        <v>3.0</v>
      </c>
      <c r="N400" s="30" t="s">
        <v>356</v>
      </c>
      <c r="O400" s="30" t="s">
        <v>194</v>
      </c>
      <c r="P400" s="30">
        <v>160.0</v>
      </c>
      <c r="Q400" s="30" t="s">
        <v>195</v>
      </c>
      <c r="R400" s="30" t="s">
        <v>1062</v>
      </c>
      <c r="S400" s="30" t="s">
        <v>197</v>
      </c>
      <c r="T400" s="30" t="s">
        <v>1376</v>
      </c>
      <c r="U400" s="30">
        <v>2.0033809E7</v>
      </c>
    </row>
    <row r="401">
      <c r="A401" s="30">
        <v>51.29022</v>
      </c>
      <c r="B401" s="30">
        <v>25.272662</v>
      </c>
      <c r="C401" s="30" t="str">
        <f t="shared" si="1"/>
        <v>51.29022 25.272662</v>
      </c>
      <c r="D401" s="30">
        <v>53.0</v>
      </c>
      <c r="E401" s="36" t="s">
        <v>1377</v>
      </c>
      <c r="F401" s="32" t="s">
        <v>1378</v>
      </c>
      <c r="G401" s="30" t="s">
        <v>190</v>
      </c>
      <c r="H401" s="33">
        <v>46095.0</v>
      </c>
      <c r="I401" s="30">
        <v>1400178.0</v>
      </c>
      <c r="J401" s="30" t="s">
        <v>201</v>
      </c>
      <c r="K401" s="43" t="s">
        <v>202</v>
      </c>
      <c r="L401" s="30" t="s">
        <v>195</v>
      </c>
      <c r="M401" s="30">
        <v>3.0</v>
      </c>
      <c r="N401" s="30" t="s">
        <v>356</v>
      </c>
      <c r="O401" s="30" t="s">
        <v>194</v>
      </c>
      <c r="P401" s="30">
        <v>160.0</v>
      </c>
      <c r="Q401" s="30" t="s">
        <v>195</v>
      </c>
      <c r="R401" s="30" t="s">
        <v>1062</v>
      </c>
      <c r="S401" s="30" t="s">
        <v>197</v>
      </c>
      <c r="T401" s="30" t="s">
        <v>1379</v>
      </c>
      <c r="U401" s="30">
        <v>2.003381E7</v>
      </c>
    </row>
    <row r="402">
      <c r="A402" s="30">
        <v>51.294971</v>
      </c>
      <c r="B402" s="30">
        <v>25.255368</v>
      </c>
      <c r="C402" s="30" t="str">
        <f t="shared" si="1"/>
        <v>51.294971 25.255368</v>
      </c>
      <c r="D402" s="30">
        <v>82.0</v>
      </c>
      <c r="E402" s="36" t="s">
        <v>208</v>
      </c>
      <c r="F402" s="32" t="s">
        <v>497</v>
      </c>
      <c r="G402" s="30" t="s">
        <v>190</v>
      </c>
      <c r="H402" s="33">
        <v>46095.0</v>
      </c>
      <c r="I402" s="30">
        <v>1400179.0</v>
      </c>
      <c r="J402" s="30" t="s">
        <v>201</v>
      </c>
      <c r="K402" s="43" t="s">
        <v>202</v>
      </c>
      <c r="L402" s="30" t="s">
        <v>195</v>
      </c>
      <c r="M402" s="30">
        <v>3.0</v>
      </c>
      <c r="N402" s="30" t="s">
        <v>356</v>
      </c>
      <c r="O402" s="30" t="s">
        <v>194</v>
      </c>
      <c r="P402" s="30">
        <v>160.0</v>
      </c>
      <c r="Q402" s="30" t="s">
        <v>195</v>
      </c>
      <c r="R402" s="30" t="s">
        <v>1062</v>
      </c>
      <c r="S402" s="30" t="s">
        <v>197</v>
      </c>
      <c r="T402" s="30" t="s">
        <v>1380</v>
      </c>
      <c r="U402" s="30">
        <v>2.0033811E7</v>
      </c>
    </row>
    <row r="403">
      <c r="A403" s="30">
        <v>51.304348</v>
      </c>
      <c r="B403" s="30">
        <v>25.238367</v>
      </c>
      <c r="C403" s="30" t="str">
        <f t="shared" si="1"/>
        <v>51.304348 25.238367</v>
      </c>
      <c r="D403" s="30">
        <v>53.0</v>
      </c>
      <c r="E403" s="36" t="s">
        <v>1381</v>
      </c>
      <c r="F403" s="32" t="s">
        <v>1382</v>
      </c>
      <c r="G403" s="30" t="s">
        <v>190</v>
      </c>
      <c r="H403" s="33">
        <v>46095.0</v>
      </c>
      <c r="I403" s="30">
        <v>1400180.0</v>
      </c>
      <c r="J403" s="93" t="s">
        <v>201</v>
      </c>
      <c r="K403" s="43" t="s">
        <v>202</v>
      </c>
      <c r="L403" s="30" t="s">
        <v>195</v>
      </c>
      <c r="M403" s="30">
        <v>3.0</v>
      </c>
      <c r="N403" s="30" t="s">
        <v>356</v>
      </c>
      <c r="O403" s="30" t="s">
        <v>194</v>
      </c>
      <c r="P403" s="30">
        <v>160.0</v>
      </c>
      <c r="Q403" s="30" t="s">
        <v>221</v>
      </c>
      <c r="R403" s="30" t="s">
        <v>222</v>
      </c>
      <c r="S403" s="30" t="s">
        <v>197</v>
      </c>
      <c r="T403" s="30" t="s">
        <v>1383</v>
      </c>
      <c r="U403" s="30">
        <v>2.0033812E7</v>
      </c>
    </row>
    <row r="404">
      <c r="A404" s="30">
        <v>51.309676</v>
      </c>
      <c r="B404" s="30">
        <v>25.222161</v>
      </c>
      <c r="C404" s="30" t="str">
        <f t="shared" si="1"/>
        <v>51.309676 25.222161</v>
      </c>
      <c r="D404" s="30">
        <v>82.0</v>
      </c>
      <c r="E404" s="36" t="s">
        <v>367</v>
      </c>
      <c r="F404" s="32" t="s">
        <v>1384</v>
      </c>
      <c r="G404" s="30" t="s">
        <v>190</v>
      </c>
      <c r="H404" s="33">
        <v>46095.0</v>
      </c>
      <c r="I404" s="30">
        <v>1400181.0</v>
      </c>
      <c r="J404" s="30" t="s">
        <v>201</v>
      </c>
      <c r="K404" s="43" t="s">
        <v>202</v>
      </c>
      <c r="L404" s="30" t="s">
        <v>195</v>
      </c>
      <c r="M404" s="30">
        <v>3.0</v>
      </c>
      <c r="N404" s="30" t="s">
        <v>356</v>
      </c>
      <c r="O404" s="30" t="s">
        <v>194</v>
      </c>
      <c r="P404" s="30">
        <v>160.0</v>
      </c>
      <c r="Q404" s="30" t="s">
        <v>278</v>
      </c>
      <c r="R404" s="30" t="s">
        <v>1062</v>
      </c>
      <c r="S404" s="30" t="s">
        <v>197</v>
      </c>
      <c r="T404" s="30" t="s">
        <v>1385</v>
      </c>
      <c r="U404" s="30">
        <v>2.0033813E7</v>
      </c>
    </row>
    <row r="405">
      <c r="A405" s="30">
        <v>51.317904</v>
      </c>
      <c r="B405" s="30">
        <v>25.207372</v>
      </c>
      <c r="C405" s="30" t="str">
        <f t="shared" si="1"/>
        <v>51.317904 25.207372</v>
      </c>
      <c r="D405" s="30">
        <v>55.0</v>
      </c>
      <c r="E405" s="36" t="s">
        <v>526</v>
      </c>
      <c r="F405" s="32" t="s">
        <v>1386</v>
      </c>
      <c r="G405" s="30" t="s">
        <v>190</v>
      </c>
      <c r="H405" s="33">
        <v>46095.0</v>
      </c>
      <c r="I405" s="30">
        <v>1400182.0</v>
      </c>
      <c r="J405" s="30" t="s">
        <v>201</v>
      </c>
      <c r="K405" s="43" t="s">
        <v>202</v>
      </c>
      <c r="L405" s="30" t="s">
        <v>195</v>
      </c>
      <c r="M405" s="30">
        <v>3.0</v>
      </c>
      <c r="N405" s="30" t="s">
        <v>356</v>
      </c>
      <c r="O405" s="30" t="s">
        <v>194</v>
      </c>
      <c r="P405" s="30">
        <v>160.0</v>
      </c>
      <c r="Q405" s="30" t="s">
        <v>195</v>
      </c>
      <c r="R405" s="30" t="s">
        <v>1062</v>
      </c>
      <c r="S405" s="30" t="s">
        <v>197</v>
      </c>
      <c r="T405" s="30" t="s">
        <v>1387</v>
      </c>
      <c r="U405" s="30">
        <v>2.0033814E7</v>
      </c>
    </row>
    <row r="406">
      <c r="A406" s="30">
        <v>51.320645</v>
      </c>
      <c r="B406" s="30">
        <v>25.201028</v>
      </c>
      <c r="C406" s="30" t="str">
        <f t="shared" si="1"/>
        <v>51.320645 25.201028</v>
      </c>
      <c r="D406" s="30">
        <v>55.0</v>
      </c>
      <c r="E406" s="36" t="s">
        <v>499</v>
      </c>
      <c r="F406" s="32" t="s">
        <v>1388</v>
      </c>
      <c r="G406" s="30" t="s">
        <v>190</v>
      </c>
      <c r="H406" s="33">
        <v>46095.0</v>
      </c>
      <c r="I406" s="30">
        <v>1400183.0</v>
      </c>
      <c r="J406" s="30" t="s">
        <v>201</v>
      </c>
      <c r="K406" s="43" t="s">
        <v>202</v>
      </c>
      <c r="L406" s="30" t="s">
        <v>195</v>
      </c>
      <c r="M406" s="30">
        <v>3.0</v>
      </c>
      <c r="N406" s="30" t="s">
        <v>356</v>
      </c>
      <c r="O406" s="30" t="s">
        <v>194</v>
      </c>
      <c r="P406" s="30">
        <v>160.0</v>
      </c>
      <c r="Q406" s="30" t="s">
        <v>195</v>
      </c>
      <c r="R406" s="30" t="s">
        <v>1062</v>
      </c>
      <c r="S406" s="30" t="s">
        <v>197</v>
      </c>
      <c r="T406" s="30" t="s">
        <v>1389</v>
      </c>
      <c r="U406" s="30">
        <v>2.0033815E7</v>
      </c>
    </row>
    <row r="407">
      <c r="A407" s="30">
        <v>51.319642</v>
      </c>
      <c r="B407" s="30">
        <v>25.198851</v>
      </c>
      <c r="C407" s="30" t="str">
        <f t="shared" si="1"/>
        <v>51.319642 25.198851</v>
      </c>
      <c r="D407" s="30">
        <v>82.0</v>
      </c>
      <c r="E407" s="36" t="s">
        <v>1390</v>
      </c>
      <c r="F407" s="32" t="s">
        <v>368</v>
      </c>
      <c r="G407" s="30" t="s">
        <v>190</v>
      </c>
      <c r="H407" s="33">
        <v>46095.0</v>
      </c>
      <c r="I407" s="30">
        <v>1400184.0</v>
      </c>
      <c r="J407" s="30" t="s">
        <v>201</v>
      </c>
      <c r="K407" s="43" t="s">
        <v>202</v>
      </c>
      <c r="L407" s="30" t="s">
        <v>195</v>
      </c>
      <c r="M407" s="30">
        <v>3.0</v>
      </c>
      <c r="N407" s="30" t="s">
        <v>356</v>
      </c>
      <c r="O407" s="30" t="s">
        <v>194</v>
      </c>
      <c r="P407" s="30">
        <v>160.0</v>
      </c>
      <c r="Q407" s="30" t="s">
        <v>195</v>
      </c>
      <c r="R407" s="30" t="s">
        <v>1062</v>
      </c>
      <c r="S407" s="30" t="s">
        <v>197</v>
      </c>
      <c r="T407" s="30" t="s">
        <v>1391</v>
      </c>
      <c r="U407" s="30">
        <v>2.0033816E7</v>
      </c>
    </row>
    <row r="408">
      <c r="A408" s="30">
        <v>51.511597</v>
      </c>
      <c r="B408" s="30">
        <v>25.249366</v>
      </c>
      <c r="C408" s="30" t="str">
        <f t="shared" si="1"/>
        <v>51.511597 25.249366</v>
      </c>
      <c r="D408" s="30">
        <v>43.0</v>
      </c>
      <c r="E408" s="36" t="s">
        <v>454</v>
      </c>
      <c r="F408" s="32" t="s">
        <v>1392</v>
      </c>
      <c r="G408" s="30" t="s">
        <v>190</v>
      </c>
      <c r="H408" s="33">
        <v>46097.0</v>
      </c>
      <c r="I408" s="30">
        <v>1394393.0</v>
      </c>
      <c r="J408" s="30" t="s">
        <v>1393</v>
      </c>
      <c r="K408" s="43" t="s">
        <v>202</v>
      </c>
      <c r="L408" s="35"/>
      <c r="M408" s="30">
        <v>3.0</v>
      </c>
      <c r="N408" s="30" t="s">
        <v>356</v>
      </c>
      <c r="O408" s="30" t="s">
        <v>194</v>
      </c>
      <c r="P408" s="30">
        <v>160.0</v>
      </c>
      <c r="Q408" s="30" t="s">
        <v>195</v>
      </c>
      <c r="R408" s="30" t="s">
        <v>196</v>
      </c>
      <c r="S408" s="30" t="s">
        <v>197</v>
      </c>
      <c r="T408" s="30" t="s">
        <v>1394</v>
      </c>
      <c r="U408" s="30">
        <v>2.0041016E7</v>
      </c>
    </row>
    <row r="409">
      <c r="A409" s="30">
        <v>51.507569</v>
      </c>
      <c r="B409" s="30">
        <v>25.253352</v>
      </c>
      <c r="C409" s="30" t="str">
        <f t="shared" si="1"/>
        <v>51.507569 25.253352</v>
      </c>
      <c r="D409" s="30">
        <v>43.0</v>
      </c>
      <c r="E409" s="36" t="s">
        <v>260</v>
      </c>
      <c r="F409" s="32" t="s">
        <v>1395</v>
      </c>
      <c r="G409" s="30" t="s">
        <v>190</v>
      </c>
      <c r="H409" s="33">
        <v>46097.0</v>
      </c>
      <c r="I409" s="30">
        <v>1394206.0</v>
      </c>
      <c r="J409" s="30" t="s">
        <v>1396</v>
      </c>
      <c r="K409" s="43" t="s">
        <v>202</v>
      </c>
      <c r="L409" s="35"/>
      <c r="M409" s="30">
        <v>3.0</v>
      </c>
      <c r="N409" s="30" t="s">
        <v>356</v>
      </c>
      <c r="O409" s="30" t="s">
        <v>194</v>
      </c>
      <c r="P409" s="30">
        <v>160.0</v>
      </c>
      <c r="Q409" s="30" t="s">
        <v>221</v>
      </c>
      <c r="R409" s="30" t="s">
        <v>222</v>
      </c>
      <c r="S409" s="30" t="s">
        <v>197</v>
      </c>
      <c r="T409" s="30" t="s">
        <v>1397</v>
      </c>
      <c r="U409" s="30">
        <v>2.0041017E7</v>
      </c>
    </row>
    <row r="410">
      <c r="A410" s="30">
        <v>51.507588</v>
      </c>
      <c r="B410" s="30">
        <v>25.255174</v>
      </c>
      <c r="C410" s="30" t="str">
        <f t="shared" si="1"/>
        <v>51.507588 25.255174</v>
      </c>
      <c r="D410" s="30">
        <v>40.0</v>
      </c>
      <c r="E410" s="36" t="s">
        <v>323</v>
      </c>
      <c r="F410" s="32" t="s">
        <v>1398</v>
      </c>
      <c r="G410" s="30" t="s">
        <v>190</v>
      </c>
      <c r="H410" s="33">
        <v>46097.0</v>
      </c>
      <c r="I410" s="30">
        <v>1394368.0</v>
      </c>
      <c r="J410" s="30" t="s">
        <v>201</v>
      </c>
      <c r="K410" s="43" t="s">
        <v>202</v>
      </c>
      <c r="L410" s="35"/>
      <c r="M410" s="30">
        <v>3.0</v>
      </c>
      <c r="N410" s="30" t="s">
        <v>356</v>
      </c>
      <c r="O410" s="30" t="s">
        <v>194</v>
      </c>
      <c r="P410" s="30">
        <v>160.0</v>
      </c>
      <c r="Q410" s="30" t="s">
        <v>221</v>
      </c>
      <c r="R410" s="30" t="s">
        <v>222</v>
      </c>
      <c r="S410" s="30" t="s">
        <v>197</v>
      </c>
      <c r="T410" s="30" t="s">
        <v>1399</v>
      </c>
      <c r="U410" s="30">
        <v>2.0041018E7</v>
      </c>
    </row>
    <row r="411">
      <c r="A411" s="71">
        <v>51.499686</v>
      </c>
      <c r="B411" s="71">
        <v>25.259321</v>
      </c>
      <c r="C411" s="30" t="str">
        <f t="shared" si="1"/>
        <v>51.499686 25.259321</v>
      </c>
      <c r="D411" s="71">
        <v>43.0</v>
      </c>
      <c r="E411" s="72" t="s">
        <v>479</v>
      </c>
      <c r="F411" s="73" t="s">
        <v>1400</v>
      </c>
      <c r="G411" s="30" t="s">
        <v>190</v>
      </c>
      <c r="H411" s="74">
        <v>46104.0</v>
      </c>
      <c r="I411" s="71">
        <v>1353402.0</v>
      </c>
      <c r="J411" s="30" t="s">
        <v>201</v>
      </c>
      <c r="K411" s="43" t="s">
        <v>202</v>
      </c>
      <c r="L411" s="35"/>
      <c r="M411" s="30">
        <v>3.0</v>
      </c>
      <c r="N411" s="71" t="s">
        <v>304</v>
      </c>
      <c r="O411" s="71" t="s">
        <v>194</v>
      </c>
      <c r="P411" s="71">
        <v>160.0</v>
      </c>
      <c r="Q411" s="75" t="s">
        <v>195</v>
      </c>
      <c r="R411" s="75" t="s">
        <v>196</v>
      </c>
      <c r="S411" s="71" t="s">
        <v>197</v>
      </c>
      <c r="T411" s="71" t="s">
        <v>1401</v>
      </c>
      <c r="U411" s="71">
        <v>2.0041019E7</v>
      </c>
    </row>
    <row r="412">
      <c r="A412" s="30">
        <v>51.496421</v>
      </c>
      <c r="B412" s="30">
        <v>25.264182</v>
      </c>
      <c r="C412" s="30" t="str">
        <f t="shared" si="1"/>
        <v>51.496421 25.264182</v>
      </c>
      <c r="D412" s="30">
        <v>55.0</v>
      </c>
      <c r="E412" s="36" t="s">
        <v>440</v>
      </c>
      <c r="F412" s="32" t="s">
        <v>1134</v>
      </c>
      <c r="G412" s="30" t="s">
        <v>190</v>
      </c>
      <c r="H412" s="42">
        <v>46092.0</v>
      </c>
      <c r="I412" s="30">
        <v>1394387.0</v>
      </c>
      <c r="J412" s="30" t="s">
        <v>201</v>
      </c>
      <c r="K412" s="34" t="s">
        <v>202</v>
      </c>
      <c r="L412" s="30" t="s">
        <v>195</v>
      </c>
      <c r="M412" s="30">
        <v>3.0</v>
      </c>
      <c r="N412" s="30" t="s">
        <v>220</v>
      </c>
      <c r="O412" s="30" t="s">
        <v>194</v>
      </c>
      <c r="P412" s="30">
        <v>160.0</v>
      </c>
      <c r="Q412" s="30" t="s">
        <v>195</v>
      </c>
      <c r="R412" s="30" t="s">
        <v>196</v>
      </c>
      <c r="S412" s="30" t="s">
        <v>197</v>
      </c>
      <c r="T412" s="30" t="s">
        <v>1402</v>
      </c>
      <c r="U412" s="30">
        <v>2.004102E7</v>
      </c>
    </row>
    <row r="413">
      <c r="A413" s="30">
        <v>51.493936</v>
      </c>
      <c r="B413" s="30">
        <v>25.26915</v>
      </c>
      <c r="C413" s="30" t="str">
        <f t="shared" si="1"/>
        <v>51.493936 25.26915</v>
      </c>
      <c r="D413" s="30">
        <v>39.0</v>
      </c>
      <c r="E413" s="36" t="s">
        <v>440</v>
      </c>
      <c r="F413" s="32" t="s">
        <v>1159</v>
      </c>
      <c r="G413" s="30" t="s">
        <v>190</v>
      </c>
      <c r="H413" s="42">
        <v>46092.0</v>
      </c>
      <c r="I413" s="30">
        <v>1394390.0</v>
      </c>
      <c r="J413" s="30" t="s">
        <v>201</v>
      </c>
      <c r="K413" s="34" t="s">
        <v>202</v>
      </c>
      <c r="L413" s="30" t="s">
        <v>195</v>
      </c>
      <c r="M413" s="30">
        <v>3.0</v>
      </c>
      <c r="N413" s="30" t="s">
        <v>220</v>
      </c>
      <c r="O413" s="30" t="s">
        <v>194</v>
      </c>
      <c r="P413" s="30">
        <v>160.0</v>
      </c>
      <c r="Q413" s="30" t="s">
        <v>195</v>
      </c>
      <c r="R413" s="30" t="s">
        <v>196</v>
      </c>
      <c r="S413" s="30" t="s">
        <v>197</v>
      </c>
      <c r="T413" s="30" t="s">
        <v>1403</v>
      </c>
      <c r="U413" s="30">
        <v>2.0041021E7</v>
      </c>
    </row>
    <row r="414">
      <c r="A414" s="30">
        <v>51.491065</v>
      </c>
      <c r="B414" s="30">
        <v>25.272174</v>
      </c>
      <c r="C414" s="30" t="str">
        <f t="shared" si="1"/>
        <v>51.491065 25.272174</v>
      </c>
      <c r="D414" s="30">
        <v>55.0</v>
      </c>
      <c r="E414" s="36" t="s">
        <v>1258</v>
      </c>
      <c r="F414" s="32" t="s">
        <v>463</v>
      </c>
      <c r="G414" s="30" t="s">
        <v>190</v>
      </c>
      <c r="H414" s="42">
        <v>46095.0</v>
      </c>
      <c r="I414" s="30">
        <v>1394373.0</v>
      </c>
      <c r="J414" s="30" t="s">
        <v>201</v>
      </c>
      <c r="K414" s="34" t="s">
        <v>202</v>
      </c>
      <c r="L414" s="30" t="s">
        <v>195</v>
      </c>
      <c r="M414" s="30">
        <v>3.0</v>
      </c>
      <c r="N414" s="30" t="s">
        <v>220</v>
      </c>
      <c r="O414" s="30" t="s">
        <v>194</v>
      </c>
      <c r="P414" s="30">
        <v>160.0</v>
      </c>
      <c r="Q414" s="30" t="s">
        <v>221</v>
      </c>
      <c r="R414" s="30" t="s">
        <v>222</v>
      </c>
      <c r="S414" s="30" t="s">
        <v>197</v>
      </c>
      <c r="T414" s="30" t="s">
        <v>1404</v>
      </c>
      <c r="U414" s="30">
        <v>2.0041022E7</v>
      </c>
    </row>
    <row r="415">
      <c r="A415" s="30">
        <v>51.489895</v>
      </c>
      <c r="B415" s="30">
        <v>25.275129</v>
      </c>
      <c r="C415" s="30" t="str">
        <f t="shared" si="1"/>
        <v>51.489895 25.275129</v>
      </c>
      <c r="D415" s="30">
        <v>55.0</v>
      </c>
      <c r="E415" s="36" t="s">
        <v>454</v>
      </c>
      <c r="F415" s="32" t="s">
        <v>1405</v>
      </c>
      <c r="G415" s="30" t="s">
        <v>303</v>
      </c>
      <c r="H415" s="42">
        <v>46092.0</v>
      </c>
      <c r="I415" s="30" t="s">
        <v>201</v>
      </c>
      <c r="J415" s="30" t="s">
        <v>1406</v>
      </c>
      <c r="K415" s="34" t="s">
        <v>202</v>
      </c>
      <c r="L415" s="30" t="s">
        <v>195</v>
      </c>
      <c r="M415" s="30">
        <v>3.0</v>
      </c>
      <c r="N415" s="30" t="s">
        <v>220</v>
      </c>
      <c r="O415" s="30" t="s">
        <v>194</v>
      </c>
      <c r="P415" s="30">
        <v>160.0</v>
      </c>
      <c r="Q415" s="30" t="s">
        <v>195</v>
      </c>
      <c r="R415" s="30" t="s">
        <v>196</v>
      </c>
      <c r="S415" s="30" t="s">
        <v>197</v>
      </c>
      <c r="T415" s="30" t="s">
        <v>1407</v>
      </c>
      <c r="U415" s="30">
        <v>2.0041023E7</v>
      </c>
    </row>
    <row r="416">
      <c r="A416" s="30">
        <v>51.488246</v>
      </c>
      <c r="B416" s="30">
        <v>25.276444</v>
      </c>
      <c r="C416" s="30" t="str">
        <f t="shared" si="1"/>
        <v>51.488246 25.276444</v>
      </c>
      <c r="D416" s="30">
        <v>54.0</v>
      </c>
      <c r="E416" s="36" t="s">
        <v>454</v>
      </c>
      <c r="F416" s="32" t="s">
        <v>1408</v>
      </c>
      <c r="G416" s="30" t="s">
        <v>303</v>
      </c>
      <c r="H416" s="42">
        <v>46092.0</v>
      </c>
      <c r="I416" s="30">
        <v>1393965.0</v>
      </c>
      <c r="J416" s="30" t="s">
        <v>1409</v>
      </c>
      <c r="K416" s="34" t="s">
        <v>202</v>
      </c>
      <c r="L416" s="30" t="s">
        <v>195</v>
      </c>
      <c r="M416" s="30">
        <v>3.0</v>
      </c>
      <c r="N416" s="30" t="s">
        <v>220</v>
      </c>
      <c r="O416" s="30" t="s">
        <v>194</v>
      </c>
      <c r="P416" s="30">
        <v>160.0</v>
      </c>
      <c r="Q416" s="30" t="s">
        <v>221</v>
      </c>
      <c r="R416" s="30" t="s">
        <v>222</v>
      </c>
      <c r="S416" s="30" t="s">
        <v>197</v>
      </c>
      <c r="T416" s="30" t="s">
        <v>1410</v>
      </c>
      <c r="U416" s="30">
        <v>2.0041024E7</v>
      </c>
    </row>
    <row r="417">
      <c r="A417" s="30">
        <v>51.482908</v>
      </c>
      <c r="B417" s="30">
        <v>25.283963</v>
      </c>
      <c r="C417" s="30" t="str">
        <f t="shared" si="1"/>
        <v>51.482908 25.283963</v>
      </c>
      <c r="D417" s="30">
        <v>54.0</v>
      </c>
      <c r="E417" s="36" t="s">
        <v>440</v>
      </c>
      <c r="F417" s="32" t="s">
        <v>1411</v>
      </c>
      <c r="G417" s="30" t="s">
        <v>190</v>
      </c>
      <c r="H417" s="42">
        <v>46092.0</v>
      </c>
      <c r="I417" s="30">
        <v>1353347.0</v>
      </c>
      <c r="J417" s="30" t="s">
        <v>210</v>
      </c>
      <c r="K417" s="34" t="s">
        <v>202</v>
      </c>
      <c r="L417" s="30" t="s">
        <v>195</v>
      </c>
      <c r="M417" s="30">
        <v>3.0</v>
      </c>
      <c r="N417" s="30" t="s">
        <v>220</v>
      </c>
      <c r="O417" s="30" t="s">
        <v>194</v>
      </c>
      <c r="P417" s="30">
        <v>160.0</v>
      </c>
      <c r="Q417" s="30" t="s">
        <v>221</v>
      </c>
      <c r="R417" s="30" t="s">
        <v>222</v>
      </c>
      <c r="S417" s="30" t="s">
        <v>197</v>
      </c>
      <c r="T417" s="30" t="s">
        <v>1412</v>
      </c>
      <c r="U417" s="30">
        <v>2.0041025E7</v>
      </c>
    </row>
    <row r="418">
      <c r="A418" s="30">
        <v>51.480934</v>
      </c>
      <c r="B418" s="30">
        <v>25.287759</v>
      </c>
      <c r="C418" s="30" t="str">
        <f t="shared" si="1"/>
        <v>51.480934 25.287759</v>
      </c>
      <c r="D418" s="30">
        <v>38.0</v>
      </c>
      <c r="E418" s="36" t="s">
        <v>440</v>
      </c>
      <c r="F418" s="32" t="s">
        <v>219</v>
      </c>
      <c r="G418" s="30" t="s">
        <v>190</v>
      </c>
      <c r="H418" s="42">
        <v>46092.0</v>
      </c>
      <c r="I418" s="30">
        <v>1394380.0</v>
      </c>
      <c r="J418" s="30" t="s">
        <v>201</v>
      </c>
      <c r="K418" s="34" t="s">
        <v>202</v>
      </c>
      <c r="L418" s="30" t="s">
        <v>195</v>
      </c>
      <c r="M418" s="30">
        <v>3.0</v>
      </c>
      <c r="N418" s="30" t="s">
        <v>220</v>
      </c>
      <c r="O418" s="30" t="s">
        <v>194</v>
      </c>
      <c r="P418" s="30">
        <v>160.0</v>
      </c>
      <c r="Q418" s="30" t="s">
        <v>195</v>
      </c>
      <c r="R418" s="30" t="s">
        <v>196</v>
      </c>
      <c r="S418" s="30" t="s">
        <v>197</v>
      </c>
      <c r="T418" s="30" t="s">
        <v>1413</v>
      </c>
      <c r="U418" s="30">
        <v>2.0041026E7</v>
      </c>
    </row>
    <row r="419">
      <c r="A419" s="30">
        <v>51.475787</v>
      </c>
      <c r="B419" s="30">
        <v>25.294663</v>
      </c>
      <c r="C419" s="30" t="str">
        <f t="shared" si="1"/>
        <v>51.475787 25.294663</v>
      </c>
      <c r="D419" s="30">
        <v>38.0</v>
      </c>
      <c r="E419" s="36" t="s">
        <v>509</v>
      </c>
      <c r="F419" s="32" t="s">
        <v>1414</v>
      </c>
      <c r="G419" s="30" t="s">
        <v>190</v>
      </c>
      <c r="H419" s="33">
        <v>46092.0</v>
      </c>
      <c r="I419" s="30">
        <v>1393963.0</v>
      </c>
      <c r="J419" s="30" t="s">
        <v>1415</v>
      </c>
      <c r="K419" s="37" t="s">
        <v>202</v>
      </c>
      <c r="L419" s="30" t="s">
        <v>320</v>
      </c>
      <c r="M419" s="30">
        <v>3.0</v>
      </c>
      <c r="N419" s="30" t="s">
        <v>216</v>
      </c>
      <c r="O419" s="30" t="s">
        <v>194</v>
      </c>
      <c r="P419" s="30">
        <v>160.0</v>
      </c>
      <c r="Q419" s="30" t="s">
        <v>195</v>
      </c>
      <c r="R419" s="30" t="s">
        <v>196</v>
      </c>
      <c r="S419" s="30" t="s">
        <v>197</v>
      </c>
      <c r="T419" s="30" t="s">
        <v>1416</v>
      </c>
      <c r="U419" s="30">
        <v>2.0041027E7</v>
      </c>
    </row>
    <row r="420">
      <c r="A420" s="30">
        <v>51.470874</v>
      </c>
      <c r="B420" s="30">
        <v>25.318344</v>
      </c>
      <c r="C420" s="30" t="str">
        <f t="shared" si="1"/>
        <v>51.470874 25.318344</v>
      </c>
      <c r="D420" s="30">
        <v>34.0</v>
      </c>
      <c r="E420" s="36" t="s">
        <v>454</v>
      </c>
      <c r="F420" s="32" t="s">
        <v>1053</v>
      </c>
      <c r="G420" s="30" t="s">
        <v>190</v>
      </c>
      <c r="H420" s="42">
        <v>46092.0</v>
      </c>
      <c r="I420" s="30" t="s">
        <v>201</v>
      </c>
      <c r="J420" s="30" t="s">
        <v>210</v>
      </c>
      <c r="K420" s="34" t="s">
        <v>202</v>
      </c>
      <c r="L420" s="30" t="s">
        <v>195</v>
      </c>
      <c r="M420" s="30">
        <v>3.0</v>
      </c>
      <c r="N420" s="30" t="s">
        <v>220</v>
      </c>
      <c r="O420" s="30" t="s">
        <v>194</v>
      </c>
      <c r="P420" s="30">
        <v>160.0</v>
      </c>
      <c r="Q420" s="30" t="s">
        <v>221</v>
      </c>
      <c r="R420" s="30" t="s">
        <v>222</v>
      </c>
      <c r="S420" s="30" t="s">
        <v>197</v>
      </c>
      <c r="T420" s="30" t="s">
        <v>1417</v>
      </c>
      <c r="U420" s="30">
        <v>2.0041028E7</v>
      </c>
    </row>
    <row r="421">
      <c r="A421" s="94">
        <v>51.454756</v>
      </c>
      <c r="B421" s="30">
        <v>25.351652</v>
      </c>
      <c r="C421" s="30" t="str">
        <f t="shared" si="1"/>
        <v>51.454756 25.351652</v>
      </c>
      <c r="D421" s="30">
        <v>30.0</v>
      </c>
      <c r="E421" s="36" t="s">
        <v>249</v>
      </c>
      <c r="F421" s="32" t="s">
        <v>225</v>
      </c>
      <c r="G421" s="30" t="s">
        <v>190</v>
      </c>
      <c r="H421" s="42">
        <v>46095.0</v>
      </c>
      <c r="I421" s="30" t="s">
        <v>201</v>
      </c>
      <c r="J421" s="30" t="s">
        <v>201</v>
      </c>
      <c r="K421" s="34" t="s">
        <v>202</v>
      </c>
      <c r="L421" s="30" t="s">
        <v>195</v>
      </c>
      <c r="M421" s="30">
        <v>3.0</v>
      </c>
      <c r="N421" s="30" t="s">
        <v>220</v>
      </c>
      <c r="O421" s="30" t="s">
        <v>194</v>
      </c>
      <c r="P421" s="30">
        <v>160.0</v>
      </c>
      <c r="Q421" s="30" t="s">
        <v>195</v>
      </c>
      <c r="R421" s="30" t="s">
        <v>196</v>
      </c>
      <c r="S421" s="30" t="s">
        <v>197</v>
      </c>
      <c r="T421" s="30" t="s">
        <v>1418</v>
      </c>
      <c r="U421" s="30">
        <v>2.0041029E7</v>
      </c>
    </row>
    <row r="422">
      <c r="A422" s="30">
        <v>51.449674</v>
      </c>
      <c r="B422" s="30">
        <v>25.358043</v>
      </c>
      <c r="C422" s="30" t="str">
        <f t="shared" si="1"/>
        <v>51.449674 25.358043</v>
      </c>
      <c r="D422" s="30">
        <v>51.0</v>
      </c>
      <c r="E422" s="36" t="s">
        <v>249</v>
      </c>
      <c r="F422" s="32" t="s">
        <v>1419</v>
      </c>
      <c r="G422" s="30" t="s">
        <v>190</v>
      </c>
      <c r="H422" s="33">
        <v>46095.0</v>
      </c>
      <c r="I422" s="30">
        <v>1283426.0</v>
      </c>
      <c r="J422" s="30" t="s">
        <v>201</v>
      </c>
      <c r="K422" s="37" t="s">
        <v>202</v>
      </c>
      <c r="L422" s="35"/>
      <c r="M422" s="30">
        <v>3.0</v>
      </c>
      <c r="N422" s="30" t="s">
        <v>1099</v>
      </c>
      <c r="O422" s="30" t="s">
        <v>194</v>
      </c>
      <c r="P422" s="30">
        <v>160.0</v>
      </c>
      <c r="Q422" s="30" t="s">
        <v>195</v>
      </c>
      <c r="R422" s="30" t="s">
        <v>196</v>
      </c>
      <c r="S422" s="30" t="s">
        <v>197</v>
      </c>
      <c r="T422" s="30" t="s">
        <v>1420</v>
      </c>
      <c r="U422" s="30">
        <v>2.004103E7</v>
      </c>
    </row>
    <row r="423">
      <c r="A423" s="30">
        <v>51.451227</v>
      </c>
      <c r="B423" s="30">
        <v>25.359391</v>
      </c>
      <c r="C423" s="30" t="str">
        <f t="shared" si="1"/>
        <v>51.451227 25.359391</v>
      </c>
      <c r="D423" s="30">
        <v>30.0</v>
      </c>
      <c r="E423" s="36" t="s">
        <v>1258</v>
      </c>
      <c r="F423" s="32" t="s">
        <v>1421</v>
      </c>
      <c r="G423" s="30" t="s">
        <v>190</v>
      </c>
      <c r="H423" s="42">
        <v>46095.0</v>
      </c>
      <c r="I423" s="30">
        <v>1393962.0</v>
      </c>
      <c r="J423" s="30" t="s">
        <v>201</v>
      </c>
      <c r="K423" s="34" t="s">
        <v>202</v>
      </c>
      <c r="L423" s="30" t="s">
        <v>195</v>
      </c>
      <c r="M423" s="30">
        <v>3.0</v>
      </c>
      <c r="N423" s="30" t="s">
        <v>220</v>
      </c>
      <c r="O423" s="30" t="s">
        <v>194</v>
      </c>
      <c r="P423" s="30">
        <v>160.0</v>
      </c>
      <c r="Q423" s="30" t="s">
        <v>195</v>
      </c>
      <c r="R423" s="30" t="s">
        <v>196</v>
      </c>
      <c r="S423" s="30" t="s">
        <v>197</v>
      </c>
      <c r="T423" s="30" t="s">
        <v>1422</v>
      </c>
      <c r="U423" s="30">
        <v>2.0041031E7</v>
      </c>
    </row>
    <row r="424">
      <c r="A424" s="30">
        <v>51.444272</v>
      </c>
      <c r="B424" s="30">
        <v>25.37052</v>
      </c>
      <c r="C424" s="30" t="str">
        <f t="shared" si="1"/>
        <v>51.444272 25.37052</v>
      </c>
      <c r="D424" s="30">
        <v>71.0</v>
      </c>
      <c r="E424" s="36" t="s">
        <v>249</v>
      </c>
      <c r="F424" s="40" t="s">
        <v>201</v>
      </c>
      <c r="G424" s="30" t="s">
        <v>190</v>
      </c>
      <c r="H424" s="33">
        <v>46095.0</v>
      </c>
      <c r="I424" s="30">
        <v>1412440.0</v>
      </c>
      <c r="J424" s="30" t="s">
        <v>201</v>
      </c>
      <c r="K424" s="37" t="s">
        <v>202</v>
      </c>
      <c r="L424" s="35"/>
      <c r="M424" s="30">
        <v>3.0</v>
      </c>
      <c r="N424" s="30" t="s">
        <v>1099</v>
      </c>
      <c r="O424" s="30" t="s">
        <v>194</v>
      </c>
      <c r="P424" s="30">
        <v>160.0</v>
      </c>
      <c r="Q424" s="30" t="s">
        <v>221</v>
      </c>
      <c r="R424" s="30" t="s">
        <v>222</v>
      </c>
      <c r="S424" s="30" t="s">
        <v>197</v>
      </c>
      <c r="T424" s="30" t="s">
        <v>1423</v>
      </c>
      <c r="U424" s="30">
        <v>2.0041032E7</v>
      </c>
    </row>
    <row r="425">
      <c r="A425" s="30">
        <v>51.439706</v>
      </c>
      <c r="B425" s="30">
        <v>25.379774</v>
      </c>
      <c r="C425" s="30" t="str">
        <f t="shared" si="1"/>
        <v>51.439706 25.379774</v>
      </c>
      <c r="D425" s="30">
        <v>71.0</v>
      </c>
      <c r="E425" s="36" t="s">
        <v>1258</v>
      </c>
      <c r="F425" s="32" t="s">
        <v>1424</v>
      </c>
      <c r="G425" s="30" t="s">
        <v>190</v>
      </c>
      <c r="H425" s="33">
        <v>46095.0</v>
      </c>
      <c r="I425" s="30" t="s">
        <v>201</v>
      </c>
      <c r="J425" s="30" t="s">
        <v>210</v>
      </c>
      <c r="K425" s="37" t="s">
        <v>202</v>
      </c>
      <c r="L425" s="35"/>
      <c r="M425" s="30">
        <v>3.0</v>
      </c>
      <c r="N425" s="30" t="s">
        <v>1099</v>
      </c>
      <c r="O425" s="30" t="s">
        <v>194</v>
      </c>
      <c r="P425" s="30">
        <v>160.0</v>
      </c>
      <c r="Q425" s="30" t="s">
        <v>195</v>
      </c>
      <c r="R425" s="30" t="s">
        <v>196</v>
      </c>
      <c r="S425" s="30" t="s">
        <v>197</v>
      </c>
      <c r="T425" s="30" t="s">
        <v>1425</v>
      </c>
      <c r="U425" s="30">
        <v>2.0041033E7</v>
      </c>
    </row>
    <row r="426">
      <c r="A426" s="30">
        <v>51.437993</v>
      </c>
      <c r="B426" s="30">
        <v>25.385513</v>
      </c>
      <c r="C426" s="30" t="str">
        <f t="shared" si="1"/>
        <v>51.437993 25.385513</v>
      </c>
      <c r="D426" s="30">
        <v>70.0</v>
      </c>
      <c r="E426" s="36" t="s">
        <v>249</v>
      </c>
      <c r="F426" s="32" t="s">
        <v>1426</v>
      </c>
      <c r="G426" s="30" t="s">
        <v>190</v>
      </c>
      <c r="H426" s="42">
        <v>46095.0</v>
      </c>
      <c r="I426" s="30">
        <v>1407316.0</v>
      </c>
      <c r="J426" s="30" t="s">
        <v>201</v>
      </c>
      <c r="K426" s="34" t="s">
        <v>202</v>
      </c>
      <c r="L426" s="30" t="s">
        <v>195</v>
      </c>
      <c r="M426" s="30">
        <v>3.0</v>
      </c>
      <c r="N426" s="30" t="s">
        <v>220</v>
      </c>
      <c r="O426" s="30" t="s">
        <v>194</v>
      </c>
      <c r="P426" s="30">
        <v>160.0</v>
      </c>
      <c r="Q426" s="30" t="s">
        <v>195</v>
      </c>
      <c r="R426" s="30" t="s">
        <v>196</v>
      </c>
      <c r="S426" s="30" t="s">
        <v>197</v>
      </c>
      <c r="T426" s="30" t="s">
        <v>1427</v>
      </c>
      <c r="U426" s="30">
        <v>2.0041034E7</v>
      </c>
    </row>
    <row r="427">
      <c r="A427" s="30">
        <v>51.435893</v>
      </c>
      <c r="B427" s="30">
        <v>25.38724</v>
      </c>
      <c r="C427" s="30" t="str">
        <f t="shared" si="1"/>
        <v>51.435893 25.38724</v>
      </c>
      <c r="D427" s="30">
        <v>71.0</v>
      </c>
      <c r="E427" s="36" t="s">
        <v>1428</v>
      </c>
      <c r="F427" s="32" t="s">
        <v>561</v>
      </c>
      <c r="G427" s="30" t="s">
        <v>190</v>
      </c>
      <c r="H427" s="42">
        <v>46095.0</v>
      </c>
      <c r="I427" s="30">
        <v>1407315.0</v>
      </c>
      <c r="J427" s="30" t="s">
        <v>201</v>
      </c>
      <c r="K427" s="34" t="s">
        <v>202</v>
      </c>
      <c r="L427" s="30" t="s">
        <v>195</v>
      </c>
      <c r="M427" s="30">
        <v>3.0</v>
      </c>
      <c r="N427" s="30" t="s">
        <v>220</v>
      </c>
      <c r="O427" s="30" t="s">
        <v>194</v>
      </c>
      <c r="P427" s="30">
        <v>160.0</v>
      </c>
      <c r="Q427" s="30" t="s">
        <v>195</v>
      </c>
      <c r="R427" s="30" t="s">
        <v>196</v>
      </c>
      <c r="S427" s="30" t="s">
        <v>197</v>
      </c>
      <c r="T427" s="30" t="s">
        <v>1429</v>
      </c>
      <c r="U427" s="30">
        <v>2.0041035E7</v>
      </c>
    </row>
    <row r="428">
      <c r="A428" s="30">
        <v>51.43371</v>
      </c>
      <c r="B428" s="30">
        <v>25.391805</v>
      </c>
      <c r="C428" s="30" t="str">
        <f t="shared" si="1"/>
        <v>51.43371 25.391805</v>
      </c>
      <c r="D428" s="30">
        <v>71.0</v>
      </c>
      <c r="E428" s="36" t="s">
        <v>249</v>
      </c>
      <c r="F428" s="32" t="s">
        <v>1159</v>
      </c>
      <c r="G428" s="30" t="s">
        <v>190</v>
      </c>
      <c r="H428" s="42">
        <v>46095.0</v>
      </c>
      <c r="I428" s="30">
        <v>1393918.0</v>
      </c>
      <c r="J428" s="30" t="s">
        <v>201</v>
      </c>
      <c r="K428" s="34" t="s">
        <v>202</v>
      </c>
      <c r="L428" s="30" t="s">
        <v>195</v>
      </c>
      <c r="M428" s="30">
        <v>3.0</v>
      </c>
      <c r="N428" s="30" t="s">
        <v>220</v>
      </c>
      <c r="O428" s="30" t="s">
        <v>194</v>
      </c>
      <c r="P428" s="30">
        <v>160.0</v>
      </c>
      <c r="Q428" s="30" t="s">
        <v>221</v>
      </c>
      <c r="R428" s="30" t="s">
        <v>222</v>
      </c>
      <c r="S428" s="30" t="s">
        <v>197</v>
      </c>
      <c r="T428" s="30" t="s">
        <v>1430</v>
      </c>
      <c r="U428" s="30">
        <v>2.0041036E7</v>
      </c>
    </row>
    <row r="429">
      <c r="A429" s="30">
        <v>51.43448</v>
      </c>
      <c r="B429" s="30">
        <v>25.392234</v>
      </c>
      <c r="C429" s="30" t="str">
        <f t="shared" si="1"/>
        <v>51.43448 25.392234</v>
      </c>
      <c r="D429" s="30">
        <v>70.0</v>
      </c>
      <c r="E429" s="36" t="s">
        <v>1258</v>
      </c>
      <c r="F429" s="32" t="s">
        <v>729</v>
      </c>
      <c r="G429" s="30" t="s">
        <v>190</v>
      </c>
      <c r="H429" s="42">
        <v>46095.0</v>
      </c>
      <c r="I429" s="30">
        <v>1407314.0</v>
      </c>
      <c r="J429" s="30" t="s">
        <v>201</v>
      </c>
      <c r="K429" s="34" t="s">
        <v>202</v>
      </c>
      <c r="L429" s="30" t="s">
        <v>195</v>
      </c>
      <c r="M429" s="30">
        <v>3.0</v>
      </c>
      <c r="N429" s="30" t="s">
        <v>220</v>
      </c>
      <c r="O429" s="30" t="s">
        <v>194</v>
      </c>
      <c r="P429" s="30">
        <v>160.0</v>
      </c>
      <c r="Q429" s="30" t="s">
        <v>195</v>
      </c>
      <c r="R429" s="30" t="s">
        <v>196</v>
      </c>
      <c r="S429" s="30" t="s">
        <v>197</v>
      </c>
      <c r="T429" s="30" t="s">
        <v>1431</v>
      </c>
      <c r="U429" s="30">
        <v>2.0041037E7</v>
      </c>
    </row>
    <row r="430">
      <c r="A430" s="30">
        <v>51.428846</v>
      </c>
      <c r="B430" s="30">
        <v>25.401205</v>
      </c>
      <c r="C430" s="30" t="str">
        <f t="shared" si="1"/>
        <v>51.428846 25.401205</v>
      </c>
      <c r="D430" s="30">
        <v>71.0</v>
      </c>
      <c r="E430" s="36" t="s">
        <v>1432</v>
      </c>
      <c r="F430" s="32" t="s">
        <v>1433</v>
      </c>
      <c r="G430" s="30" t="s">
        <v>190</v>
      </c>
      <c r="H430" s="42">
        <v>46095.0</v>
      </c>
      <c r="I430" s="30" t="s">
        <v>201</v>
      </c>
      <c r="J430" s="30" t="s">
        <v>201</v>
      </c>
      <c r="K430" s="34" t="s">
        <v>202</v>
      </c>
      <c r="L430" s="30" t="s">
        <v>195</v>
      </c>
      <c r="M430" s="30">
        <v>3.0</v>
      </c>
      <c r="N430" s="30" t="s">
        <v>220</v>
      </c>
      <c r="O430" s="30" t="s">
        <v>194</v>
      </c>
      <c r="P430" s="30">
        <v>160.0</v>
      </c>
      <c r="Q430" s="30" t="s">
        <v>195</v>
      </c>
      <c r="R430" s="30" t="s">
        <v>196</v>
      </c>
      <c r="S430" s="30" t="s">
        <v>197</v>
      </c>
      <c r="T430" s="30" t="s">
        <v>1434</v>
      </c>
      <c r="U430" s="30">
        <v>2.0041038E7</v>
      </c>
    </row>
    <row r="431">
      <c r="A431" s="30">
        <v>51.427004</v>
      </c>
      <c r="B431" s="30">
        <v>25.404917</v>
      </c>
      <c r="C431" s="30" t="str">
        <f t="shared" si="1"/>
        <v>51.427004 25.404917</v>
      </c>
      <c r="D431" s="30">
        <v>71.0</v>
      </c>
      <c r="E431" s="36" t="s">
        <v>1435</v>
      </c>
      <c r="F431" s="32" t="s">
        <v>242</v>
      </c>
      <c r="G431" s="30" t="s">
        <v>190</v>
      </c>
      <c r="H431" s="42">
        <v>46095.0</v>
      </c>
      <c r="I431" s="30" t="s">
        <v>201</v>
      </c>
      <c r="J431" s="30" t="s">
        <v>201</v>
      </c>
      <c r="K431" s="34" t="s">
        <v>202</v>
      </c>
      <c r="L431" s="30" t="s">
        <v>195</v>
      </c>
      <c r="M431" s="30">
        <v>3.0</v>
      </c>
      <c r="N431" s="30" t="s">
        <v>220</v>
      </c>
      <c r="O431" s="30" t="s">
        <v>194</v>
      </c>
      <c r="P431" s="30">
        <v>160.0</v>
      </c>
      <c r="Q431" s="30" t="s">
        <v>195</v>
      </c>
      <c r="R431" s="30" t="s">
        <v>196</v>
      </c>
      <c r="S431" s="30" t="s">
        <v>197</v>
      </c>
      <c r="T431" s="30" t="s">
        <v>1436</v>
      </c>
      <c r="U431" s="30">
        <v>2.0041039E7</v>
      </c>
    </row>
    <row r="432">
      <c r="A432" s="30">
        <v>51.419253</v>
      </c>
      <c r="B432" s="30">
        <v>25.422731</v>
      </c>
      <c r="C432" s="30" t="str">
        <f t="shared" si="1"/>
        <v>51.419253 25.422731</v>
      </c>
      <c r="D432" s="30">
        <v>70.0</v>
      </c>
      <c r="E432" s="36" t="s">
        <v>1428</v>
      </c>
      <c r="F432" s="32" t="s">
        <v>1437</v>
      </c>
      <c r="G432" s="30" t="s">
        <v>190</v>
      </c>
      <c r="H432" s="42">
        <v>46095.0</v>
      </c>
      <c r="I432" s="30" t="s">
        <v>201</v>
      </c>
      <c r="J432" s="30" t="s">
        <v>201</v>
      </c>
      <c r="K432" s="34" t="s">
        <v>202</v>
      </c>
      <c r="L432" s="30" t="s">
        <v>195</v>
      </c>
      <c r="M432" s="30">
        <v>3.0</v>
      </c>
      <c r="N432" s="30" t="s">
        <v>220</v>
      </c>
      <c r="O432" s="30" t="s">
        <v>194</v>
      </c>
      <c r="P432" s="30">
        <v>160.0</v>
      </c>
      <c r="Q432" s="30" t="s">
        <v>195</v>
      </c>
      <c r="R432" s="30" t="s">
        <v>196</v>
      </c>
      <c r="S432" s="30" t="s">
        <v>197</v>
      </c>
      <c r="T432" s="30" t="s">
        <v>1438</v>
      </c>
      <c r="U432" s="30">
        <v>2.004104E7</v>
      </c>
    </row>
    <row r="433">
      <c r="A433" s="30">
        <v>51.417706</v>
      </c>
      <c r="B433" s="30">
        <v>25.423644</v>
      </c>
      <c r="C433" s="30" t="str">
        <f t="shared" si="1"/>
        <v>51.417706 25.423644</v>
      </c>
      <c r="D433" s="30">
        <v>71.0</v>
      </c>
      <c r="E433" s="36" t="s">
        <v>1439</v>
      </c>
      <c r="F433" s="32" t="s">
        <v>1440</v>
      </c>
      <c r="G433" s="30" t="s">
        <v>190</v>
      </c>
      <c r="H433" s="42">
        <v>46095.0</v>
      </c>
      <c r="I433" s="30">
        <v>1393913.0</v>
      </c>
      <c r="J433" s="30" t="s">
        <v>201</v>
      </c>
      <c r="K433" s="34" t="s">
        <v>202</v>
      </c>
      <c r="L433" s="30" t="s">
        <v>195</v>
      </c>
      <c r="M433" s="30">
        <v>3.0</v>
      </c>
      <c r="N433" s="30" t="s">
        <v>220</v>
      </c>
      <c r="O433" s="30" t="s">
        <v>194</v>
      </c>
      <c r="P433" s="30">
        <v>160.0</v>
      </c>
      <c r="Q433" s="30" t="s">
        <v>195</v>
      </c>
      <c r="R433" s="30" t="s">
        <v>196</v>
      </c>
      <c r="S433" s="30" t="s">
        <v>197</v>
      </c>
      <c r="T433" s="30" t="s">
        <v>1441</v>
      </c>
      <c r="U433" s="30">
        <v>2.0041041E7</v>
      </c>
    </row>
    <row r="434">
      <c r="A434" s="30">
        <v>51.414349</v>
      </c>
      <c r="B434" s="30">
        <v>25.432014</v>
      </c>
      <c r="C434" s="30" t="str">
        <f t="shared" si="1"/>
        <v>51.414349 25.432014</v>
      </c>
      <c r="D434" s="30">
        <v>70.0</v>
      </c>
      <c r="E434" s="36" t="s">
        <v>1432</v>
      </c>
      <c r="F434" s="32" t="s">
        <v>1442</v>
      </c>
      <c r="G434" s="30" t="s">
        <v>190</v>
      </c>
      <c r="H434" s="42">
        <v>46095.0</v>
      </c>
      <c r="I434" s="30">
        <v>1393912.0</v>
      </c>
      <c r="J434" s="30" t="s">
        <v>201</v>
      </c>
      <c r="K434" s="34" t="s">
        <v>202</v>
      </c>
      <c r="L434" s="30" t="s">
        <v>195</v>
      </c>
      <c r="M434" s="30">
        <v>3.0</v>
      </c>
      <c r="N434" s="30" t="s">
        <v>220</v>
      </c>
      <c r="O434" s="30" t="s">
        <v>194</v>
      </c>
      <c r="P434" s="30">
        <v>160.0</v>
      </c>
      <c r="Q434" s="30" t="s">
        <v>195</v>
      </c>
      <c r="R434" s="30" t="s">
        <v>196</v>
      </c>
      <c r="S434" s="30" t="s">
        <v>197</v>
      </c>
      <c r="T434" s="30" t="s">
        <v>1443</v>
      </c>
      <c r="U434" s="30">
        <v>2.0041042E7</v>
      </c>
    </row>
    <row r="435">
      <c r="A435" s="30">
        <v>51.411</v>
      </c>
      <c r="B435" s="30">
        <v>25.443876</v>
      </c>
      <c r="C435" s="30" t="str">
        <f t="shared" si="1"/>
        <v>51.411 25.443876</v>
      </c>
      <c r="D435" s="30">
        <v>70.0</v>
      </c>
      <c r="E435" s="36" t="s">
        <v>1435</v>
      </c>
      <c r="F435" s="32" t="s">
        <v>1444</v>
      </c>
      <c r="G435" s="30" t="s">
        <v>190</v>
      </c>
      <c r="H435" s="42">
        <v>46095.0</v>
      </c>
      <c r="I435" s="30">
        <v>1393961.0</v>
      </c>
      <c r="J435" s="30" t="s">
        <v>210</v>
      </c>
      <c r="K435" s="34" t="s">
        <v>202</v>
      </c>
      <c r="L435" s="30" t="s">
        <v>195</v>
      </c>
      <c r="M435" s="30">
        <v>3.0</v>
      </c>
      <c r="N435" s="30" t="s">
        <v>220</v>
      </c>
      <c r="O435" s="30" t="s">
        <v>194</v>
      </c>
      <c r="P435" s="30">
        <v>160.0</v>
      </c>
      <c r="Q435" s="30" t="s">
        <v>195</v>
      </c>
      <c r="R435" s="30" t="s">
        <v>196</v>
      </c>
      <c r="S435" s="30" t="s">
        <v>197</v>
      </c>
      <c r="T435" s="30" t="s">
        <v>1445</v>
      </c>
      <c r="U435" s="30">
        <v>2.0041043E7</v>
      </c>
    </row>
    <row r="436">
      <c r="A436" s="30">
        <v>51.410242</v>
      </c>
      <c r="B436" s="30">
        <v>25.452916</v>
      </c>
      <c r="C436" s="30" t="str">
        <f t="shared" si="1"/>
        <v>51.410242 25.452916</v>
      </c>
      <c r="D436" s="30">
        <v>71.0</v>
      </c>
      <c r="E436" s="36" t="s">
        <v>1446</v>
      </c>
      <c r="F436" s="32" t="s">
        <v>1447</v>
      </c>
      <c r="G436" s="30" t="s">
        <v>190</v>
      </c>
      <c r="H436" s="33">
        <v>46094.0</v>
      </c>
      <c r="I436" s="30">
        <v>1393958.0</v>
      </c>
      <c r="J436" s="30" t="s">
        <v>201</v>
      </c>
      <c r="K436" s="43" t="s">
        <v>202</v>
      </c>
      <c r="L436" s="30" t="s">
        <v>195</v>
      </c>
      <c r="M436" s="30">
        <v>3.0</v>
      </c>
      <c r="N436" s="30" t="s">
        <v>193</v>
      </c>
      <c r="O436" s="30" t="s">
        <v>194</v>
      </c>
      <c r="P436" s="30">
        <v>160.0</v>
      </c>
      <c r="Q436" s="30" t="s">
        <v>195</v>
      </c>
      <c r="R436" s="30" t="s">
        <v>196</v>
      </c>
      <c r="S436" s="30" t="s">
        <v>197</v>
      </c>
      <c r="T436" s="30" t="s">
        <v>1448</v>
      </c>
      <c r="U436" s="30">
        <v>2.0041044E7</v>
      </c>
    </row>
    <row r="437">
      <c r="A437" s="30">
        <v>51.407744</v>
      </c>
      <c r="B437" s="30">
        <v>25.468</v>
      </c>
      <c r="C437" s="30" t="str">
        <f t="shared" si="1"/>
        <v>51.407744 25.468</v>
      </c>
      <c r="D437" s="30">
        <v>71.0</v>
      </c>
      <c r="E437" s="36" t="s">
        <v>1449</v>
      </c>
      <c r="F437" s="32" t="s">
        <v>1450</v>
      </c>
      <c r="G437" s="30" t="s">
        <v>190</v>
      </c>
      <c r="H437" s="42">
        <v>46095.0</v>
      </c>
      <c r="I437" s="30">
        <v>1393956.0</v>
      </c>
      <c r="J437" s="30" t="s">
        <v>201</v>
      </c>
      <c r="K437" s="34" t="s">
        <v>202</v>
      </c>
      <c r="L437" s="30">
        <v>100.0</v>
      </c>
      <c r="M437" s="30">
        <v>3.0</v>
      </c>
      <c r="N437" s="30" t="s">
        <v>220</v>
      </c>
      <c r="O437" s="30" t="s">
        <v>194</v>
      </c>
      <c r="P437" s="30">
        <v>160.0</v>
      </c>
      <c r="Q437" s="30" t="s">
        <v>195</v>
      </c>
      <c r="R437" s="30" t="s">
        <v>196</v>
      </c>
      <c r="S437" s="30" t="s">
        <v>197</v>
      </c>
      <c r="T437" s="30" t="s">
        <v>1451</v>
      </c>
      <c r="U437" s="30">
        <v>2.0041045E7</v>
      </c>
    </row>
    <row r="438">
      <c r="A438" s="30">
        <v>51.406881</v>
      </c>
      <c r="B438" s="30">
        <v>25.479153</v>
      </c>
      <c r="C438" s="30" t="str">
        <f t="shared" si="1"/>
        <v>51.406881 25.479153</v>
      </c>
      <c r="D438" s="30">
        <v>71.0</v>
      </c>
      <c r="E438" s="36" t="s">
        <v>1258</v>
      </c>
      <c r="F438" s="32" t="s">
        <v>1452</v>
      </c>
      <c r="G438" s="30" t="s">
        <v>190</v>
      </c>
      <c r="H438" s="42">
        <v>46095.0</v>
      </c>
      <c r="I438" s="30">
        <v>1393977.0</v>
      </c>
      <c r="J438" s="30" t="s">
        <v>201</v>
      </c>
      <c r="K438" s="34" t="s">
        <v>202</v>
      </c>
      <c r="L438" s="30" t="s">
        <v>195</v>
      </c>
      <c r="M438" s="30">
        <v>3.0</v>
      </c>
      <c r="N438" s="30" t="s">
        <v>220</v>
      </c>
      <c r="O438" s="30" t="s">
        <v>194</v>
      </c>
      <c r="P438" s="30">
        <v>160.0</v>
      </c>
      <c r="Q438" s="30" t="s">
        <v>195</v>
      </c>
      <c r="R438" s="30" t="s">
        <v>196</v>
      </c>
      <c r="S438" s="30" t="s">
        <v>197</v>
      </c>
      <c r="T438" s="30" t="s">
        <v>1453</v>
      </c>
      <c r="U438" s="30">
        <v>2.0041046E7</v>
      </c>
    </row>
    <row r="439">
      <c r="A439" s="30">
        <v>51.406832</v>
      </c>
      <c r="B439" s="30">
        <v>25.490816</v>
      </c>
      <c r="C439" s="30" t="str">
        <f t="shared" si="1"/>
        <v>51.406832 25.490816</v>
      </c>
      <c r="D439" s="30">
        <v>71.0</v>
      </c>
      <c r="E439" s="36" t="s">
        <v>532</v>
      </c>
      <c r="F439" s="32" t="s">
        <v>1454</v>
      </c>
      <c r="G439" s="30" t="s">
        <v>190</v>
      </c>
      <c r="H439" s="33">
        <v>46096.0</v>
      </c>
      <c r="I439" s="30">
        <v>1393982.0</v>
      </c>
      <c r="J439" s="30" t="s">
        <v>201</v>
      </c>
      <c r="K439" s="43" t="s">
        <v>202</v>
      </c>
      <c r="L439" s="30" t="s">
        <v>195</v>
      </c>
      <c r="M439" s="30">
        <v>3.0</v>
      </c>
      <c r="N439" s="30" t="s">
        <v>356</v>
      </c>
      <c r="O439" s="30" t="s">
        <v>194</v>
      </c>
      <c r="P439" s="30">
        <v>160.0</v>
      </c>
      <c r="Q439" s="30" t="s">
        <v>195</v>
      </c>
      <c r="R439" s="30" t="s">
        <v>196</v>
      </c>
      <c r="S439" s="30" t="s">
        <v>197</v>
      </c>
      <c r="T439" s="30" t="s">
        <v>1455</v>
      </c>
      <c r="U439" s="30">
        <v>2.0041047E7</v>
      </c>
    </row>
    <row r="440">
      <c r="A440" s="30">
        <v>51.409084</v>
      </c>
      <c r="B440" s="30">
        <v>25.509994</v>
      </c>
      <c r="C440" s="30" t="str">
        <f t="shared" si="1"/>
        <v>51.409084 25.509994</v>
      </c>
      <c r="D440" s="30">
        <v>71.0</v>
      </c>
      <c r="E440" s="36" t="s">
        <v>199</v>
      </c>
      <c r="F440" s="32" t="s">
        <v>1456</v>
      </c>
      <c r="G440" s="30" t="s">
        <v>190</v>
      </c>
      <c r="H440" s="33">
        <v>46096.0</v>
      </c>
      <c r="I440" s="30">
        <v>1393981.0</v>
      </c>
      <c r="J440" s="30" t="s">
        <v>201</v>
      </c>
      <c r="K440" s="43" t="s">
        <v>202</v>
      </c>
      <c r="L440" s="30" t="s">
        <v>195</v>
      </c>
      <c r="M440" s="30">
        <v>3.0</v>
      </c>
      <c r="N440" s="30" t="s">
        <v>356</v>
      </c>
      <c r="O440" s="30" t="s">
        <v>194</v>
      </c>
      <c r="P440" s="30">
        <v>160.0</v>
      </c>
      <c r="Q440" s="30" t="s">
        <v>195</v>
      </c>
      <c r="R440" s="30" t="s">
        <v>196</v>
      </c>
      <c r="S440" s="30" t="s">
        <v>197</v>
      </c>
      <c r="T440" s="30" t="s">
        <v>1457</v>
      </c>
      <c r="U440" s="30">
        <v>2.0041048E7</v>
      </c>
    </row>
    <row r="441">
      <c r="A441" s="30">
        <v>51.410832</v>
      </c>
      <c r="B441" s="30">
        <v>25.517704</v>
      </c>
      <c r="C441" s="30" t="str">
        <f t="shared" si="1"/>
        <v>51.410832 25.517704</v>
      </c>
      <c r="D441" s="30">
        <v>70.0</v>
      </c>
      <c r="E441" s="36" t="s">
        <v>1458</v>
      </c>
      <c r="F441" s="32" t="s">
        <v>1459</v>
      </c>
      <c r="G441" s="30" t="s">
        <v>190</v>
      </c>
      <c r="H441" s="33">
        <v>46094.0</v>
      </c>
      <c r="I441" s="30">
        <v>1393980.0</v>
      </c>
      <c r="J441" s="30" t="s">
        <v>201</v>
      </c>
      <c r="K441" s="43" t="s">
        <v>202</v>
      </c>
      <c r="L441" s="30" t="s">
        <v>195</v>
      </c>
      <c r="M441" s="30">
        <v>3.0</v>
      </c>
      <c r="N441" s="30" t="s">
        <v>193</v>
      </c>
      <c r="O441" s="30" t="s">
        <v>194</v>
      </c>
      <c r="P441" s="30">
        <v>160.0</v>
      </c>
      <c r="Q441" s="30" t="s">
        <v>195</v>
      </c>
      <c r="R441" s="30" t="s">
        <v>196</v>
      </c>
      <c r="S441" s="30" t="s">
        <v>197</v>
      </c>
      <c r="T441" s="30" t="s">
        <v>1460</v>
      </c>
      <c r="U441" s="30">
        <v>2.0041049E7</v>
      </c>
    </row>
    <row r="442">
      <c r="A442" s="30">
        <v>51.412296</v>
      </c>
      <c r="B442" s="30">
        <v>25.528416</v>
      </c>
      <c r="C442" s="30" t="str">
        <f t="shared" si="1"/>
        <v>51.412296 25.528416</v>
      </c>
      <c r="D442" s="30">
        <v>70.0</v>
      </c>
      <c r="E442" s="36" t="s">
        <v>1461</v>
      </c>
      <c r="F442" s="32" t="s">
        <v>1462</v>
      </c>
      <c r="G442" s="30" t="s">
        <v>190</v>
      </c>
      <c r="H442" s="33">
        <v>46094.0</v>
      </c>
      <c r="I442" s="30">
        <v>1393979.0</v>
      </c>
      <c r="J442" s="30" t="s">
        <v>201</v>
      </c>
      <c r="K442" s="43" t="s">
        <v>202</v>
      </c>
      <c r="L442" s="30" t="s">
        <v>195</v>
      </c>
      <c r="M442" s="30">
        <v>3.0</v>
      </c>
      <c r="N442" s="30" t="s">
        <v>193</v>
      </c>
      <c r="O442" s="30" t="s">
        <v>194</v>
      </c>
      <c r="P442" s="30">
        <v>160.0</v>
      </c>
      <c r="Q442" s="30" t="s">
        <v>221</v>
      </c>
      <c r="R442" s="30" t="s">
        <v>222</v>
      </c>
      <c r="S442" s="30" t="s">
        <v>197</v>
      </c>
      <c r="T442" s="30" t="s">
        <v>1463</v>
      </c>
      <c r="U442" s="30">
        <v>2.004105E7</v>
      </c>
    </row>
    <row r="443">
      <c r="A443" s="30">
        <v>51.412094</v>
      </c>
      <c r="B443" s="30">
        <v>25.533212</v>
      </c>
      <c r="C443" s="30" t="str">
        <f t="shared" si="1"/>
        <v>51.412094 25.533212</v>
      </c>
      <c r="D443" s="30">
        <v>71.0</v>
      </c>
      <c r="E443" s="36" t="s">
        <v>329</v>
      </c>
      <c r="F443" s="32" t="s">
        <v>514</v>
      </c>
      <c r="G443" s="30" t="s">
        <v>190</v>
      </c>
      <c r="H443" s="33">
        <v>46096.0</v>
      </c>
      <c r="I443" s="30">
        <v>1393978.0</v>
      </c>
      <c r="J443" s="30" t="s">
        <v>201</v>
      </c>
      <c r="K443" s="43" t="s">
        <v>202</v>
      </c>
      <c r="L443" s="30" t="s">
        <v>195</v>
      </c>
      <c r="M443" s="30">
        <v>3.0</v>
      </c>
      <c r="N443" s="30" t="s">
        <v>356</v>
      </c>
      <c r="O443" s="30" t="s">
        <v>194</v>
      </c>
      <c r="P443" s="30">
        <v>160.0</v>
      </c>
      <c r="Q443" s="30" t="s">
        <v>195</v>
      </c>
      <c r="R443" s="30" t="s">
        <v>196</v>
      </c>
      <c r="S443" s="30" t="s">
        <v>197</v>
      </c>
      <c r="T443" s="30" t="s">
        <v>1464</v>
      </c>
      <c r="U443" s="30">
        <v>2.0041051E7</v>
      </c>
    </row>
    <row r="444">
      <c r="A444" s="30">
        <v>51.413245</v>
      </c>
      <c r="B444" s="30">
        <v>25.535936</v>
      </c>
      <c r="C444" s="30" t="str">
        <f t="shared" si="1"/>
        <v>51.413245 25.535936</v>
      </c>
      <c r="D444" s="30">
        <v>74.0</v>
      </c>
      <c r="E444" s="36" t="s">
        <v>536</v>
      </c>
      <c r="F444" s="32" t="s">
        <v>1465</v>
      </c>
      <c r="G444" s="30" t="s">
        <v>190</v>
      </c>
      <c r="H444" s="33">
        <v>46094.0</v>
      </c>
      <c r="I444" s="30">
        <v>1393969.0</v>
      </c>
      <c r="J444" s="30" t="s">
        <v>201</v>
      </c>
      <c r="K444" s="43" t="s">
        <v>202</v>
      </c>
      <c r="L444" s="30" t="s">
        <v>195</v>
      </c>
      <c r="M444" s="30">
        <v>2.0</v>
      </c>
      <c r="N444" s="30" t="s">
        <v>304</v>
      </c>
      <c r="O444" s="30" t="s">
        <v>194</v>
      </c>
      <c r="P444" s="30">
        <v>160.0</v>
      </c>
      <c r="Q444" s="30" t="s">
        <v>195</v>
      </c>
      <c r="R444" s="30" t="s">
        <v>196</v>
      </c>
      <c r="S444" s="30" t="s">
        <v>197</v>
      </c>
      <c r="T444" s="30" t="s">
        <v>1466</v>
      </c>
      <c r="U444" s="30">
        <v>2.0041052E7</v>
      </c>
    </row>
    <row r="445">
      <c r="A445" s="30">
        <v>51.413612</v>
      </c>
      <c r="B445" s="30">
        <v>25.544752</v>
      </c>
      <c r="C445" s="30" t="str">
        <f t="shared" si="1"/>
        <v>51.413612 25.544752</v>
      </c>
      <c r="D445" s="30">
        <v>71.0</v>
      </c>
      <c r="E445" s="36" t="s">
        <v>420</v>
      </c>
      <c r="F445" s="32" t="s">
        <v>1467</v>
      </c>
      <c r="G445" s="30" t="s">
        <v>190</v>
      </c>
      <c r="H445" s="33">
        <v>46096.0</v>
      </c>
      <c r="I445" s="30">
        <v>1393970.0</v>
      </c>
      <c r="J445" s="30" t="s">
        <v>201</v>
      </c>
      <c r="K445" s="43" t="s">
        <v>202</v>
      </c>
      <c r="L445" s="30" t="s">
        <v>195</v>
      </c>
      <c r="M445" s="30">
        <v>3.0</v>
      </c>
      <c r="N445" s="30" t="s">
        <v>356</v>
      </c>
      <c r="O445" s="30" t="s">
        <v>194</v>
      </c>
      <c r="P445" s="30">
        <v>160.0</v>
      </c>
      <c r="Q445" s="30" t="s">
        <v>195</v>
      </c>
      <c r="R445" s="30" t="s">
        <v>196</v>
      </c>
      <c r="S445" s="30" t="s">
        <v>197</v>
      </c>
      <c r="T445" s="30" t="s">
        <v>1468</v>
      </c>
      <c r="U445" s="30">
        <v>2.0041053E7</v>
      </c>
    </row>
    <row r="446">
      <c r="A446" s="30">
        <v>51.415405</v>
      </c>
      <c r="B446" s="30">
        <v>25.553026</v>
      </c>
      <c r="C446" s="30" t="str">
        <f t="shared" si="1"/>
        <v>51.415405 25.553026</v>
      </c>
      <c r="D446" s="30">
        <v>74.0</v>
      </c>
      <c r="E446" s="36" t="s">
        <v>1469</v>
      </c>
      <c r="F446" s="32" t="s">
        <v>1470</v>
      </c>
      <c r="G446" s="30" t="s">
        <v>190</v>
      </c>
      <c r="H446" s="33">
        <v>46094.0</v>
      </c>
      <c r="I446" s="30">
        <v>1393971.0</v>
      </c>
      <c r="J446" s="30" t="s">
        <v>201</v>
      </c>
      <c r="K446" s="43" t="s">
        <v>202</v>
      </c>
      <c r="L446" s="30" t="s">
        <v>195</v>
      </c>
      <c r="M446" s="30">
        <v>2.0</v>
      </c>
      <c r="N446" s="30" t="s">
        <v>304</v>
      </c>
      <c r="O446" s="30" t="s">
        <v>194</v>
      </c>
      <c r="P446" s="30">
        <v>160.0</v>
      </c>
      <c r="Q446" s="30" t="s">
        <v>195</v>
      </c>
      <c r="R446" s="30" t="s">
        <v>196</v>
      </c>
      <c r="S446" s="30" t="s">
        <v>197</v>
      </c>
      <c r="T446" s="30" t="s">
        <v>1471</v>
      </c>
      <c r="U446" s="30">
        <v>2.0041054E7</v>
      </c>
    </row>
    <row r="447">
      <c r="A447" s="30">
        <v>51.416087</v>
      </c>
      <c r="B447" s="30">
        <v>25.55971</v>
      </c>
      <c r="C447" s="30" t="str">
        <f t="shared" si="1"/>
        <v>51.416087 25.55971</v>
      </c>
      <c r="D447" s="30">
        <v>74.0</v>
      </c>
      <c r="E447" s="36" t="s">
        <v>496</v>
      </c>
      <c r="F447" s="32" t="s">
        <v>1472</v>
      </c>
      <c r="G447" s="30" t="s">
        <v>190</v>
      </c>
      <c r="H447" s="33">
        <v>46094.0</v>
      </c>
      <c r="I447" s="30">
        <v>1393972.0</v>
      </c>
      <c r="J447" s="30" t="s">
        <v>201</v>
      </c>
      <c r="K447" s="43" t="s">
        <v>202</v>
      </c>
      <c r="L447" s="30" t="s">
        <v>195</v>
      </c>
      <c r="M447" s="30">
        <v>2.0</v>
      </c>
      <c r="N447" s="30" t="s">
        <v>304</v>
      </c>
      <c r="O447" s="30" t="s">
        <v>194</v>
      </c>
      <c r="P447" s="30">
        <v>160.0</v>
      </c>
      <c r="Q447" s="30" t="s">
        <v>195</v>
      </c>
      <c r="R447" s="30" t="s">
        <v>196</v>
      </c>
      <c r="S447" s="30" t="s">
        <v>197</v>
      </c>
      <c r="T447" s="30" t="s">
        <v>1473</v>
      </c>
      <c r="U447" s="30">
        <v>2.0041055E7</v>
      </c>
    </row>
    <row r="448">
      <c r="A448" s="30">
        <v>51.415053</v>
      </c>
      <c r="B448" s="30">
        <v>25.571138</v>
      </c>
      <c r="C448" s="30" t="str">
        <f t="shared" si="1"/>
        <v>51.415053 25.571138</v>
      </c>
      <c r="D448" s="30">
        <v>74.0</v>
      </c>
      <c r="E448" s="36" t="s">
        <v>1363</v>
      </c>
      <c r="F448" s="32" t="s">
        <v>1474</v>
      </c>
      <c r="G448" s="30" t="s">
        <v>190</v>
      </c>
      <c r="H448" s="33">
        <v>46094.0</v>
      </c>
      <c r="I448" s="30">
        <v>1393973.0</v>
      </c>
      <c r="J448" s="30" t="s">
        <v>201</v>
      </c>
      <c r="K448" s="43" t="s">
        <v>202</v>
      </c>
      <c r="L448" s="30" t="s">
        <v>195</v>
      </c>
      <c r="M448" s="30">
        <v>3.0</v>
      </c>
      <c r="N448" s="30" t="s">
        <v>304</v>
      </c>
      <c r="O448" s="30" t="s">
        <v>194</v>
      </c>
      <c r="P448" s="30">
        <v>160.0</v>
      </c>
      <c r="Q448" s="30" t="s">
        <v>195</v>
      </c>
      <c r="R448" s="30" t="s">
        <v>196</v>
      </c>
      <c r="S448" s="30" t="s">
        <v>197</v>
      </c>
      <c r="T448" s="30" t="s">
        <v>1475</v>
      </c>
      <c r="U448" s="30">
        <v>2.0041056E7</v>
      </c>
    </row>
    <row r="449">
      <c r="A449" s="30">
        <v>51.410337</v>
      </c>
      <c r="B449" s="30">
        <v>25.585418</v>
      </c>
      <c r="C449" s="30" t="str">
        <f t="shared" si="1"/>
        <v>51.410337 25.585418</v>
      </c>
      <c r="D449" s="30">
        <v>74.0</v>
      </c>
      <c r="E449" s="36" t="s">
        <v>249</v>
      </c>
      <c r="F449" s="32" t="s">
        <v>1476</v>
      </c>
      <c r="G449" s="30" t="s">
        <v>190</v>
      </c>
      <c r="H449" s="33">
        <v>46096.0</v>
      </c>
      <c r="I449" s="30">
        <v>1393929.0</v>
      </c>
      <c r="J449" s="30" t="s">
        <v>201</v>
      </c>
      <c r="K449" s="43" t="s">
        <v>202</v>
      </c>
      <c r="L449" s="35"/>
      <c r="M449" s="30">
        <v>3.0</v>
      </c>
      <c r="N449" s="30" t="s">
        <v>220</v>
      </c>
      <c r="O449" s="30" t="s">
        <v>194</v>
      </c>
      <c r="P449" s="30">
        <v>160.0</v>
      </c>
      <c r="Q449" s="30" t="s">
        <v>221</v>
      </c>
      <c r="R449" s="30" t="s">
        <v>222</v>
      </c>
      <c r="S449" s="30" t="s">
        <v>197</v>
      </c>
      <c r="T449" s="30" t="s">
        <v>1477</v>
      </c>
      <c r="U449" s="30">
        <v>2.0041057E7</v>
      </c>
    </row>
    <row r="450">
      <c r="A450" s="30">
        <v>51.408861</v>
      </c>
      <c r="B450" s="30">
        <v>25.591084</v>
      </c>
      <c r="C450" s="30" t="str">
        <f t="shared" si="1"/>
        <v>51.408861 25.591084</v>
      </c>
      <c r="D450" s="30">
        <v>74.0</v>
      </c>
      <c r="E450" s="36" t="s">
        <v>1258</v>
      </c>
      <c r="F450" s="32" t="s">
        <v>1382</v>
      </c>
      <c r="G450" s="30" t="s">
        <v>190</v>
      </c>
      <c r="H450" s="33">
        <v>46096.0</v>
      </c>
      <c r="I450" s="30">
        <v>1393930.0</v>
      </c>
      <c r="J450" s="30" t="s">
        <v>201</v>
      </c>
      <c r="K450" s="43" t="s">
        <v>202</v>
      </c>
      <c r="L450" s="35"/>
      <c r="M450" s="30">
        <v>3.0</v>
      </c>
      <c r="N450" s="30" t="s">
        <v>220</v>
      </c>
      <c r="O450" s="30" t="s">
        <v>194</v>
      </c>
      <c r="P450" s="30">
        <v>160.0</v>
      </c>
      <c r="Q450" s="30" t="s">
        <v>221</v>
      </c>
      <c r="R450" s="30" t="s">
        <v>222</v>
      </c>
      <c r="S450" s="30" t="s">
        <v>197</v>
      </c>
      <c r="T450" s="30" t="s">
        <v>1478</v>
      </c>
      <c r="U450" s="30">
        <v>2.0041058E7</v>
      </c>
    </row>
    <row r="451">
      <c r="A451" s="30">
        <v>51.405651</v>
      </c>
      <c r="B451" s="30">
        <v>25.603536</v>
      </c>
      <c r="C451" s="30" t="str">
        <f t="shared" si="1"/>
        <v>51.405651 25.603536</v>
      </c>
      <c r="D451" s="30">
        <v>74.0</v>
      </c>
      <c r="E451" s="36" t="s">
        <v>1428</v>
      </c>
      <c r="F451" s="32" t="s">
        <v>1384</v>
      </c>
      <c r="G451" s="30" t="s">
        <v>190</v>
      </c>
      <c r="H451" s="33">
        <v>46096.0</v>
      </c>
      <c r="I451" s="30">
        <v>1393931.0</v>
      </c>
      <c r="J451" s="30" t="s">
        <v>201</v>
      </c>
      <c r="K451" s="43" t="s">
        <v>202</v>
      </c>
      <c r="L451" s="35"/>
      <c r="M451" s="30">
        <v>3.0</v>
      </c>
      <c r="N451" s="30" t="s">
        <v>220</v>
      </c>
      <c r="O451" s="30" t="s">
        <v>194</v>
      </c>
      <c r="P451" s="30">
        <v>160.0</v>
      </c>
      <c r="Q451" s="30" t="s">
        <v>195</v>
      </c>
      <c r="R451" s="30" t="s">
        <v>196</v>
      </c>
      <c r="S451" s="30" t="s">
        <v>197</v>
      </c>
      <c r="T451" s="30" t="s">
        <v>1479</v>
      </c>
      <c r="U451" s="30">
        <v>2.0041059E7</v>
      </c>
    </row>
    <row r="452">
      <c r="A452" s="30">
        <v>51.403231</v>
      </c>
      <c r="B452" s="30">
        <v>25.612765</v>
      </c>
      <c r="C452" s="30" t="str">
        <f t="shared" si="1"/>
        <v>51.403231 25.612765</v>
      </c>
      <c r="D452" s="30">
        <v>74.0</v>
      </c>
      <c r="E452" s="36" t="s">
        <v>1432</v>
      </c>
      <c r="F452" s="32" t="s">
        <v>1480</v>
      </c>
      <c r="G452" s="30" t="s">
        <v>190</v>
      </c>
      <c r="H452" s="33">
        <v>46096.0</v>
      </c>
      <c r="I452" s="30">
        <v>1393933.0</v>
      </c>
      <c r="J452" s="30" t="s">
        <v>201</v>
      </c>
      <c r="K452" s="43" t="s">
        <v>202</v>
      </c>
      <c r="L452" s="35"/>
      <c r="M452" s="30">
        <v>3.0</v>
      </c>
      <c r="N452" s="30" t="s">
        <v>220</v>
      </c>
      <c r="O452" s="30" t="s">
        <v>194</v>
      </c>
      <c r="P452" s="30">
        <v>160.0</v>
      </c>
      <c r="Q452" s="30" t="s">
        <v>221</v>
      </c>
      <c r="R452" s="30" t="s">
        <v>222</v>
      </c>
      <c r="S452" s="30" t="s">
        <v>197</v>
      </c>
      <c r="T452" s="30" t="s">
        <v>1481</v>
      </c>
      <c r="U452" s="30">
        <v>2.004106E7</v>
      </c>
    </row>
    <row r="453">
      <c r="A453" s="30">
        <v>51.404071</v>
      </c>
      <c r="B453" s="30">
        <v>25.61294</v>
      </c>
      <c r="C453" s="30" t="str">
        <f t="shared" si="1"/>
        <v>51.404071 25.61294</v>
      </c>
      <c r="D453" s="30">
        <v>74.0</v>
      </c>
      <c r="E453" s="36" t="s">
        <v>435</v>
      </c>
      <c r="F453" s="32" t="s">
        <v>1482</v>
      </c>
      <c r="G453" s="30" t="s">
        <v>190</v>
      </c>
      <c r="H453" s="33">
        <v>46094.0</v>
      </c>
      <c r="I453" s="30">
        <v>1393932.0</v>
      </c>
      <c r="J453" s="30" t="s">
        <v>201</v>
      </c>
      <c r="K453" s="43" t="s">
        <v>202</v>
      </c>
      <c r="L453" s="30" t="s">
        <v>195</v>
      </c>
      <c r="M453" s="30">
        <v>3.0</v>
      </c>
      <c r="N453" s="30" t="s">
        <v>304</v>
      </c>
      <c r="O453" s="30" t="s">
        <v>194</v>
      </c>
      <c r="P453" s="30">
        <v>160.0</v>
      </c>
      <c r="Q453" s="30" t="s">
        <v>195</v>
      </c>
      <c r="R453" s="30" t="s">
        <v>196</v>
      </c>
      <c r="S453" s="30" t="s">
        <v>197</v>
      </c>
      <c r="T453" s="30" t="s">
        <v>1483</v>
      </c>
      <c r="U453" s="30">
        <v>2.0041061E7</v>
      </c>
    </row>
    <row r="454">
      <c r="A454" s="30">
        <v>51.402385</v>
      </c>
      <c r="B454" s="30">
        <v>25.619362</v>
      </c>
      <c r="C454" s="30" t="str">
        <f t="shared" si="1"/>
        <v>51.402385 25.619362</v>
      </c>
      <c r="D454" s="30">
        <v>74.0</v>
      </c>
      <c r="E454" s="36" t="s">
        <v>1374</v>
      </c>
      <c r="F454" s="32" t="s">
        <v>524</v>
      </c>
      <c r="G454" s="30" t="s">
        <v>190</v>
      </c>
      <c r="H454" s="33">
        <v>46094.0</v>
      </c>
      <c r="I454" s="30">
        <v>1393935.0</v>
      </c>
      <c r="J454" s="30" t="s">
        <v>201</v>
      </c>
      <c r="K454" s="43" t="s">
        <v>202</v>
      </c>
      <c r="L454" s="30" t="s">
        <v>195</v>
      </c>
      <c r="M454" s="30">
        <v>2.0</v>
      </c>
      <c r="N454" s="30" t="s">
        <v>304</v>
      </c>
      <c r="O454" s="30" t="s">
        <v>194</v>
      </c>
      <c r="P454" s="30">
        <v>160.0</v>
      </c>
      <c r="Q454" s="30" t="s">
        <v>195</v>
      </c>
      <c r="R454" s="30" t="s">
        <v>196</v>
      </c>
      <c r="S454" s="30" t="s">
        <v>197</v>
      </c>
      <c r="T454" s="30" t="s">
        <v>1484</v>
      </c>
      <c r="U454" s="30">
        <v>2.0041062E7</v>
      </c>
    </row>
    <row r="455">
      <c r="A455" s="30">
        <v>51.413918</v>
      </c>
      <c r="B455" s="30">
        <v>25.62441</v>
      </c>
      <c r="C455" s="30" t="str">
        <f t="shared" si="1"/>
        <v>51.413918 25.62441</v>
      </c>
      <c r="D455" s="30">
        <v>74.0</v>
      </c>
      <c r="E455" s="36" t="s">
        <v>208</v>
      </c>
      <c r="F455" s="32" t="s">
        <v>368</v>
      </c>
      <c r="G455" s="30" t="s">
        <v>190</v>
      </c>
      <c r="H455" s="33">
        <v>46094.0</v>
      </c>
      <c r="I455" s="30">
        <v>1275137.0</v>
      </c>
      <c r="J455" s="30" t="s">
        <v>201</v>
      </c>
      <c r="K455" s="43" t="s">
        <v>202</v>
      </c>
      <c r="L455" s="30" t="s">
        <v>195</v>
      </c>
      <c r="M455" s="30">
        <v>3.0</v>
      </c>
      <c r="N455" s="30" t="s">
        <v>304</v>
      </c>
      <c r="O455" s="30" t="s">
        <v>194</v>
      </c>
      <c r="P455" s="30">
        <v>160.0</v>
      </c>
      <c r="Q455" s="30" t="s">
        <v>195</v>
      </c>
      <c r="R455" s="30" t="s">
        <v>196</v>
      </c>
      <c r="S455" s="30" t="s">
        <v>197</v>
      </c>
      <c r="T455" s="30" t="s">
        <v>1485</v>
      </c>
      <c r="U455" s="30">
        <v>2.0041063E7</v>
      </c>
    </row>
    <row r="456">
      <c r="A456" s="30">
        <v>51.430572</v>
      </c>
      <c r="B456" s="30">
        <v>25.63924</v>
      </c>
      <c r="C456" s="30" t="str">
        <f t="shared" si="1"/>
        <v>51.430572 25.63924</v>
      </c>
      <c r="D456" s="30">
        <v>74.0</v>
      </c>
      <c r="E456" s="36" t="s">
        <v>1381</v>
      </c>
      <c r="F456" s="32" t="s">
        <v>1486</v>
      </c>
      <c r="G456" s="30" t="s">
        <v>190</v>
      </c>
      <c r="H456" s="33">
        <v>46094.0</v>
      </c>
      <c r="I456" s="30">
        <v>1393939.0</v>
      </c>
      <c r="J456" s="30" t="s">
        <v>201</v>
      </c>
      <c r="K456" s="43" t="s">
        <v>202</v>
      </c>
      <c r="L456" s="30" t="s">
        <v>195</v>
      </c>
      <c r="M456" s="30">
        <v>3.0</v>
      </c>
      <c r="N456" s="30" t="s">
        <v>304</v>
      </c>
      <c r="O456" s="30" t="s">
        <v>194</v>
      </c>
      <c r="P456" s="30">
        <v>160.0</v>
      </c>
      <c r="Q456" s="30" t="s">
        <v>195</v>
      </c>
      <c r="R456" s="30" t="s">
        <v>196</v>
      </c>
      <c r="S456" s="30" t="s">
        <v>197</v>
      </c>
      <c r="T456" s="30" t="s">
        <v>1487</v>
      </c>
      <c r="U456" s="30">
        <v>2.0041064E7</v>
      </c>
    </row>
    <row r="457">
      <c r="A457" s="30">
        <v>51.445566</v>
      </c>
      <c r="B457" s="30">
        <v>25.648301</v>
      </c>
      <c r="C457" s="30" t="str">
        <f t="shared" si="1"/>
        <v>51.445566 25.648301</v>
      </c>
      <c r="D457" s="30">
        <v>74.0</v>
      </c>
      <c r="E457" s="36" t="s">
        <v>367</v>
      </c>
      <c r="F457" s="32" t="s">
        <v>1488</v>
      </c>
      <c r="G457" s="30" t="s">
        <v>190</v>
      </c>
      <c r="H457" s="33">
        <v>46094.0</v>
      </c>
      <c r="I457" s="30">
        <v>1255944.0</v>
      </c>
      <c r="J457" s="30" t="s">
        <v>201</v>
      </c>
      <c r="K457" s="43" t="s">
        <v>202</v>
      </c>
      <c r="L457" s="30" t="s">
        <v>195</v>
      </c>
      <c r="M457" s="30">
        <v>2.0</v>
      </c>
      <c r="N457" s="30" t="s">
        <v>304</v>
      </c>
      <c r="O457" s="30" t="s">
        <v>194</v>
      </c>
      <c r="P457" s="30">
        <v>160.0</v>
      </c>
      <c r="Q457" s="30" t="s">
        <v>195</v>
      </c>
      <c r="R457" s="30" t="s">
        <v>196</v>
      </c>
      <c r="S457" s="30" t="s">
        <v>197</v>
      </c>
      <c r="T457" s="30" t="s">
        <v>1489</v>
      </c>
      <c r="U457" s="30">
        <v>2.0041065E7</v>
      </c>
    </row>
    <row r="458">
      <c r="A458" s="30">
        <v>51.399707</v>
      </c>
      <c r="B458" s="30">
        <v>25.624527</v>
      </c>
      <c r="C458" s="30" t="str">
        <f t="shared" si="1"/>
        <v>51.399707 25.624527</v>
      </c>
      <c r="D458" s="30">
        <v>74.0</v>
      </c>
      <c r="E458" s="36" t="s">
        <v>1435</v>
      </c>
      <c r="F458" s="32" t="s">
        <v>1388</v>
      </c>
      <c r="G458" s="30" t="s">
        <v>190</v>
      </c>
      <c r="H458" s="33">
        <v>46096.0</v>
      </c>
      <c r="I458" s="30">
        <v>1393936.0</v>
      </c>
      <c r="J458" s="30" t="s">
        <v>1144</v>
      </c>
      <c r="K458" s="43" t="s">
        <v>202</v>
      </c>
      <c r="L458" s="35"/>
      <c r="M458" s="30">
        <v>3.0</v>
      </c>
      <c r="N458" s="30" t="s">
        <v>220</v>
      </c>
      <c r="O458" s="30" t="s">
        <v>194</v>
      </c>
      <c r="P458" s="30">
        <v>160.0</v>
      </c>
      <c r="Q458" s="30" t="s">
        <v>221</v>
      </c>
      <c r="R458" s="30" t="s">
        <v>222</v>
      </c>
      <c r="S458" s="30" t="s">
        <v>197</v>
      </c>
      <c r="T458" s="30" t="s">
        <v>1490</v>
      </c>
      <c r="U458" s="30">
        <v>2.0041066E7</v>
      </c>
    </row>
    <row r="459">
      <c r="A459" s="30">
        <v>51.397299</v>
      </c>
      <c r="B459" s="30">
        <v>25.635621</v>
      </c>
      <c r="C459" s="30" t="str">
        <f t="shared" si="1"/>
        <v>51.397299 25.635621</v>
      </c>
      <c r="D459" s="30">
        <v>74.0</v>
      </c>
      <c r="E459" s="36" t="s">
        <v>1439</v>
      </c>
      <c r="F459" s="32" t="s">
        <v>1488</v>
      </c>
      <c r="G459" s="30" t="s">
        <v>190</v>
      </c>
      <c r="H459" s="33">
        <v>46096.0</v>
      </c>
      <c r="I459" s="30">
        <v>1393941.0</v>
      </c>
      <c r="J459" s="30" t="s">
        <v>210</v>
      </c>
      <c r="K459" s="43" t="s">
        <v>202</v>
      </c>
      <c r="L459" s="35"/>
      <c r="M459" s="30">
        <v>3.0</v>
      </c>
      <c r="N459" s="30" t="s">
        <v>220</v>
      </c>
      <c r="O459" s="30" t="s">
        <v>194</v>
      </c>
      <c r="P459" s="30">
        <v>160.0</v>
      </c>
      <c r="Q459" s="30" t="s">
        <v>221</v>
      </c>
      <c r="R459" s="30" t="s">
        <v>222</v>
      </c>
      <c r="S459" s="30" t="s">
        <v>197</v>
      </c>
      <c r="T459" s="30" t="s">
        <v>1491</v>
      </c>
      <c r="U459" s="30">
        <v>2.0041067E7</v>
      </c>
    </row>
    <row r="460">
      <c r="A460" s="30">
        <v>51.472109</v>
      </c>
      <c r="B460" s="30">
        <v>25.313698</v>
      </c>
      <c r="C460" s="30" t="str">
        <f t="shared" si="1"/>
        <v>51.472109 25.313698</v>
      </c>
      <c r="D460" s="30">
        <v>34.0</v>
      </c>
      <c r="E460" s="36" t="s">
        <v>440</v>
      </c>
      <c r="F460" s="32" t="s">
        <v>340</v>
      </c>
      <c r="G460" s="30" t="s">
        <v>190</v>
      </c>
      <c r="H460" s="42">
        <v>46092.0</v>
      </c>
      <c r="I460" s="30">
        <v>135360.0</v>
      </c>
      <c r="J460" s="30" t="s">
        <v>201</v>
      </c>
      <c r="K460" s="34" t="s">
        <v>202</v>
      </c>
      <c r="L460" s="30" t="s">
        <v>195</v>
      </c>
      <c r="M460" s="30">
        <v>3.0</v>
      </c>
      <c r="N460" s="30" t="s">
        <v>220</v>
      </c>
      <c r="O460" s="30" t="s">
        <v>194</v>
      </c>
      <c r="P460" s="30">
        <v>160.0</v>
      </c>
      <c r="Q460" s="30" t="s">
        <v>195</v>
      </c>
      <c r="R460" s="30" t="s">
        <v>196</v>
      </c>
      <c r="S460" s="30" t="s">
        <v>197</v>
      </c>
      <c r="T460" s="30" t="s">
        <v>1492</v>
      </c>
      <c r="U460" s="30">
        <v>2.0041014E7</v>
      </c>
    </row>
    <row r="461">
      <c r="A461" s="30">
        <v>51.408398</v>
      </c>
      <c r="B461" s="30">
        <v>25.459657</v>
      </c>
      <c r="C461" s="30" t="str">
        <f t="shared" si="1"/>
        <v>51.408398 25.459657</v>
      </c>
      <c r="D461" s="30">
        <v>71.0</v>
      </c>
      <c r="E461" s="36" t="s">
        <v>1306</v>
      </c>
      <c r="F461" s="32" t="s">
        <v>1279</v>
      </c>
      <c r="G461" s="30" t="s">
        <v>190</v>
      </c>
      <c r="H461" s="42">
        <v>46095.0</v>
      </c>
      <c r="I461" s="30" t="s">
        <v>201</v>
      </c>
      <c r="J461" s="30" t="s">
        <v>201</v>
      </c>
      <c r="K461" s="34" t="s">
        <v>202</v>
      </c>
      <c r="L461" s="30" t="s">
        <v>195</v>
      </c>
      <c r="M461" s="30">
        <v>3.0</v>
      </c>
      <c r="N461" s="30" t="s">
        <v>220</v>
      </c>
      <c r="O461" s="30" t="s">
        <v>194</v>
      </c>
      <c r="P461" s="30">
        <v>160.0</v>
      </c>
      <c r="Q461" s="30" t="s">
        <v>195</v>
      </c>
      <c r="R461" s="30" t="s">
        <v>196</v>
      </c>
      <c r="S461" s="30" t="s">
        <v>197</v>
      </c>
      <c r="T461" s="30" t="s">
        <v>1493</v>
      </c>
      <c r="U461" s="30">
        <v>2.0041015E7</v>
      </c>
    </row>
    <row r="462">
      <c r="A462" s="71">
        <v>51.387179</v>
      </c>
      <c r="B462" s="71">
        <v>25.312826</v>
      </c>
      <c r="C462" s="30" t="str">
        <f t="shared" si="1"/>
        <v>51.387179 25.312826</v>
      </c>
      <c r="D462" s="71">
        <v>51.0</v>
      </c>
      <c r="E462" s="72" t="s">
        <v>724</v>
      </c>
      <c r="F462" s="73" t="s">
        <v>1494</v>
      </c>
      <c r="G462" s="30" t="s">
        <v>190</v>
      </c>
      <c r="H462" s="74">
        <v>46103.0</v>
      </c>
      <c r="I462" s="71">
        <v>1373035.0</v>
      </c>
      <c r="J462" s="30" t="s">
        <v>1495</v>
      </c>
      <c r="K462" s="34" t="s">
        <v>192</v>
      </c>
      <c r="L462" s="35"/>
      <c r="M462" s="30">
        <v>3.0</v>
      </c>
      <c r="N462" s="71" t="s">
        <v>193</v>
      </c>
      <c r="O462" s="71" t="s">
        <v>194</v>
      </c>
      <c r="P462" s="71">
        <v>160.0</v>
      </c>
      <c r="Q462" s="75" t="s">
        <v>195</v>
      </c>
      <c r="R462" s="75" t="s">
        <v>196</v>
      </c>
      <c r="S462" s="71" t="s">
        <v>197</v>
      </c>
      <c r="T462" s="71" t="s">
        <v>1496</v>
      </c>
      <c r="U462" s="71">
        <v>2.0043361E7</v>
      </c>
    </row>
    <row r="463">
      <c r="A463" s="30">
        <v>51.331439</v>
      </c>
      <c r="B463" s="30">
        <v>25.331106</v>
      </c>
      <c r="C463" s="30" t="str">
        <f t="shared" si="1"/>
        <v>51.331439 25.331106</v>
      </c>
      <c r="D463" s="30">
        <v>53.0</v>
      </c>
      <c r="E463" s="36" t="s">
        <v>509</v>
      </c>
      <c r="F463" s="32" t="s">
        <v>1497</v>
      </c>
      <c r="G463" s="30" t="s">
        <v>190</v>
      </c>
      <c r="H463" s="33">
        <v>46095.0</v>
      </c>
      <c r="I463" s="30" t="s">
        <v>201</v>
      </c>
      <c r="J463" s="30" t="s">
        <v>1498</v>
      </c>
      <c r="K463" s="43" t="s">
        <v>202</v>
      </c>
      <c r="L463" s="30" t="s">
        <v>446</v>
      </c>
      <c r="M463" s="30">
        <v>3.0</v>
      </c>
      <c r="N463" s="30" t="s">
        <v>356</v>
      </c>
      <c r="O463" s="30" t="s">
        <v>194</v>
      </c>
      <c r="P463" s="30">
        <v>160.0</v>
      </c>
      <c r="Q463" s="30" t="s">
        <v>195</v>
      </c>
      <c r="R463" s="30" t="s">
        <v>196</v>
      </c>
      <c r="S463" s="30" t="s">
        <v>197</v>
      </c>
      <c r="T463" s="30" t="s">
        <v>1499</v>
      </c>
      <c r="U463" s="30">
        <v>2.0043359E7</v>
      </c>
    </row>
    <row r="464">
      <c r="A464" s="30">
        <v>51.327396</v>
      </c>
      <c r="B464" s="30">
        <v>25.335978</v>
      </c>
      <c r="C464" s="30" t="str">
        <f t="shared" si="1"/>
        <v>51.327396 25.335978</v>
      </c>
      <c r="D464" s="30">
        <v>51.0</v>
      </c>
      <c r="E464" s="36" t="s">
        <v>679</v>
      </c>
      <c r="F464" s="32" t="s">
        <v>1230</v>
      </c>
      <c r="G464" s="30" t="s">
        <v>190</v>
      </c>
      <c r="H464" s="33">
        <v>46095.0</v>
      </c>
      <c r="I464" s="30" t="s">
        <v>201</v>
      </c>
      <c r="J464" s="30" t="s">
        <v>1500</v>
      </c>
      <c r="K464" s="43" t="s">
        <v>202</v>
      </c>
      <c r="L464" s="30" t="s">
        <v>320</v>
      </c>
      <c r="M464" s="30">
        <v>4.0</v>
      </c>
      <c r="N464" s="30" t="s">
        <v>216</v>
      </c>
      <c r="O464" s="30" t="s">
        <v>194</v>
      </c>
      <c r="P464" s="30">
        <v>160.0</v>
      </c>
      <c r="Q464" s="30" t="s">
        <v>195</v>
      </c>
      <c r="R464" s="30" t="s">
        <v>196</v>
      </c>
      <c r="S464" s="30" t="s">
        <v>197</v>
      </c>
      <c r="T464" s="30" t="s">
        <v>1501</v>
      </c>
      <c r="U464" s="30">
        <v>2.0043358E7</v>
      </c>
    </row>
    <row r="465">
      <c r="A465" s="30">
        <v>51.309842</v>
      </c>
      <c r="B465" s="30">
        <v>25.343694</v>
      </c>
      <c r="C465" s="30" t="str">
        <f t="shared" si="1"/>
        <v>51.309842 25.343694</v>
      </c>
      <c r="D465" s="30">
        <v>80.0</v>
      </c>
      <c r="E465" s="36" t="s">
        <v>1502</v>
      </c>
      <c r="F465" s="32" t="s">
        <v>1503</v>
      </c>
      <c r="G465" s="30" t="s">
        <v>190</v>
      </c>
      <c r="H465" s="33">
        <v>46095.0</v>
      </c>
      <c r="I465" s="30">
        <v>1392856.0</v>
      </c>
      <c r="J465" s="30" t="s">
        <v>1504</v>
      </c>
      <c r="K465" s="43" t="s">
        <v>202</v>
      </c>
      <c r="L465" s="30" t="s">
        <v>247</v>
      </c>
      <c r="M465" s="30">
        <v>3.0</v>
      </c>
      <c r="N465" s="30" t="s">
        <v>216</v>
      </c>
      <c r="O465" s="30" t="s">
        <v>194</v>
      </c>
      <c r="P465" s="30">
        <v>160.0</v>
      </c>
      <c r="Q465" s="30" t="s">
        <v>195</v>
      </c>
      <c r="R465" s="30" t="s">
        <v>196</v>
      </c>
      <c r="S465" s="30" t="s">
        <v>197</v>
      </c>
      <c r="T465" s="30" t="s">
        <v>1505</v>
      </c>
      <c r="U465" s="30">
        <v>2.0043357E7</v>
      </c>
    </row>
    <row r="466">
      <c r="A466" s="30">
        <v>51.289594</v>
      </c>
      <c r="B466" s="30">
        <v>25.353035</v>
      </c>
      <c r="C466" s="30" t="str">
        <f t="shared" si="1"/>
        <v>51.289594 25.353035</v>
      </c>
      <c r="D466" s="30">
        <v>80.0</v>
      </c>
      <c r="E466" s="36" t="s">
        <v>1506</v>
      </c>
      <c r="F466" s="30" t="s">
        <v>1507</v>
      </c>
      <c r="G466" s="30" t="s">
        <v>190</v>
      </c>
      <c r="H466" s="33">
        <v>46094.0</v>
      </c>
      <c r="I466" s="30">
        <v>1392858.0</v>
      </c>
      <c r="J466" s="30" t="s">
        <v>1508</v>
      </c>
      <c r="K466" s="43" t="s">
        <v>202</v>
      </c>
      <c r="L466" s="30" t="s">
        <v>1509</v>
      </c>
      <c r="M466" s="30">
        <v>3.0</v>
      </c>
      <c r="N466" s="30" t="s">
        <v>216</v>
      </c>
      <c r="O466" s="30" t="s">
        <v>194</v>
      </c>
      <c r="P466" s="30">
        <v>160.0</v>
      </c>
      <c r="Q466" s="30" t="s">
        <v>221</v>
      </c>
      <c r="R466" s="30" t="s">
        <v>196</v>
      </c>
      <c r="S466" s="30" t="s">
        <v>197</v>
      </c>
      <c r="T466" s="30" t="s">
        <v>1510</v>
      </c>
      <c r="U466" s="30">
        <v>2.004336E7</v>
      </c>
    </row>
    <row r="467">
      <c r="A467" s="30">
        <v>51.263132</v>
      </c>
      <c r="B467" s="30">
        <v>25.35827</v>
      </c>
      <c r="C467" s="30" t="str">
        <f t="shared" si="1"/>
        <v>51.263132 25.35827</v>
      </c>
      <c r="D467" s="30">
        <v>80.0</v>
      </c>
      <c r="E467" s="36" t="s">
        <v>1511</v>
      </c>
      <c r="F467" s="32" t="s">
        <v>536</v>
      </c>
      <c r="G467" s="30" t="s">
        <v>190</v>
      </c>
      <c r="H467" s="33">
        <v>46095.0</v>
      </c>
      <c r="I467" s="30">
        <v>1392860.0</v>
      </c>
      <c r="J467" s="30" t="s">
        <v>1512</v>
      </c>
      <c r="K467" s="43" t="s">
        <v>202</v>
      </c>
      <c r="L467" s="30" t="s">
        <v>1509</v>
      </c>
      <c r="M467" s="30">
        <v>3.0</v>
      </c>
      <c r="N467" s="30" t="s">
        <v>216</v>
      </c>
      <c r="O467" s="30" t="s">
        <v>194</v>
      </c>
      <c r="P467" s="30">
        <v>160.0</v>
      </c>
      <c r="Q467" s="30" t="s">
        <v>221</v>
      </c>
      <c r="R467" s="30" t="s">
        <v>196</v>
      </c>
      <c r="S467" s="30" t="s">
        <v>197</v>
      </c>
      <c r="T467" s="30" t="s">
        <v>1513</v>
      </c>
      <c r="U467" s="30">
        <v>2.0043362E7</v>
      </c>
    </row>
    <row r="468">
      <c r="A468" s="30">
        <v>51.435207</v>
      </c>
      <c r="B468" s="30">
        <v>25.253221</v>
      </c>
      <c r="C468" s="30" t="str">
        <f t="shared" si="1"/>
        <v>51.435207 25.253221</v>
      </c>
      <c r="D468" s="30">
        <v>55.0</v>
      </c>
      <c r="E468" s="39" t="s">
        <v>440</v>
      </c>
      <c r="F468" s="32" t="s">
        <v>1514</v>
      </c>
      <c r="G468" s="30" t="s">
        <v>190</v>
      </c>
      <c r="H468" s="33">
        <v>46097.0</v>
      </c>
      <c r="I468" s="30">
        <v>1393390.0</v>
      </c>
      <c r="J468" s="30" t="s">
        <v>1515</v>
      </c>
      <c r="K468" s="43" t="s">
        <v>202</v>
      </c>
      <c r="L468" s="35"/>
      <c r="M468" s="30">
        <v>3.0</v>
      </c>
      <c r="N468" s="30" t="s">
        <v>216</v>
      </c>
      <c r="O468" s="30" t="s">
        <v>194</v>
      </c>
      <c r="P468" s="30">
        <v>160.0</v>
      </c>
      <c r="Q468" s="30" t="s">
        <v>221</v>
      </c>
      <c r="R468" s="30" t="s">
        <v>222</v>
      </c>
      <c r="S468" s="30" t="s">
        <v>197</v>
      </c>
      <c r="T468" s="30" t="s">
        <v>1516</v>
      </c>
      <c r="U468" s="30">
        <v>2.0142632E7</v>
      </c>
    </row>
    <row r="469">
      <c r="A469" s="30">
        <v>51.440634</v>
      </c>
      <c r="B469" s="30">
        <v>25.25529</v>
      </c>
      <c r="C469" s="30" t="str">
        <f t="shared" si="1"/>
        <v>51.440634 25.25529</v>
      </c>
      <c r="D469" s="30">
        <v>55.0</v>
      </c>
      <c r="E469" s="39" t="s">
        <v>454</v>
      </c>
      <c r="F469" s="32" t="s">
        <v>1292</v>
      </c>
      <c r="G469" s="30" t="s">
        <v>190</v>
      </c>
      <c r="H469" s="33">
        <v>46097.0</v>
      </c>
      <c r="I469" s="30">
        <v>1393657.0</v>
      </c>
      <c r="J469" s="30" t="s">
        <v>1517</v>
      </c>
      <c r="K469" s="43" t="s">
        <v>202</v>
      </c>
      <c r="L469" s="35"/>
      <c r="M469" s="30">
        <v>3.0</v>
      </c>
      <c r="N469" s="30" t="s">
        <v>216</v>
      </c>
      <c r="O469" s="30" t="s">
        <v>194</v>
      </c>
      <c r="P469" s="30">
        <v>160.0</v>
      </c>
      <c r="Q469" s="30" t="s">
        <v>221</v>
      </c>
      <c r="R469" s="30" t="s">
        <v>222</v>
      </c>
      <c r="S469" s="30" t="s">
        <v>197</v>
      </c>
      <c r="T469" s="30" t="s">
        <v>1518</v>
      </c>
      <c r="U469" s="30">
        <v>2.0142633E7</v>
      </c>
    </row>
    <row r="470">
      <c r="A470" s="30">
        <v>51.445365</v>
      </c>
      <c r="B470" s="30">
        <v>25.257788</v>
      </c>
      <c r="C470" s="30" t="str">
        <f t="shared" si="1"/>
        <v>51.445365 25.257788</v>
      </c>
      <c r="D470" s="30">
        <v>54.0</v>
      </c>
      <c r="E470" s="39" t="s">
        <v>260</v>
      </c>
      <c r="F470" s="32" t="s">
        <v>1519</v>
      </c>
      <c r="G470" s="30" t="s">
        <v>190</v>
      </c>
      <c r="H470" s="33">
        <v>46097.0</v>
      </c>
      <c r="I470" s="30">
        <v>1393658.0</v>
      </c>
      <c r="J470" s="30" t="s">
        <v>1520</v>
      </c>
      <c r="K470" s="43" t="s">
        <v>202</v>
      </c>
      <c r="L470" s="35"/>
      <c r="M470" s="30">
        <v>3.0</v>
      </c>
      <c r="N470" s="30" t="s">
        <v>216</v>
      </c>
      <c r="O470" s="30" t="s">
        <v>194</v>
      </c>
      <c r="P470" s="30">
        <v>160.0</v>
      </c>
      <c r="Q470" s="30" t="s">
        <v>221</v>
      </c>
      <c r="R470" s="30" t="s">
        <v>222</v>
      </c>
      <c r="S470" s="30" t="s">
        <v>197</v>
      </c>
      <c r="T470" s="30" t="s">
        <v>1521</v>
      </c>
      <c r="U470" s="30">
        <v>2.0142634E7</v>
      </c>
    </row>
    <row r="471">
      <c r="A471" s="30">
        <v>51.453979</v>
      </c>
      <c r="B471" s="30">
        <v>25.260418</v>
      </c>
      <c r="C471" s="30" t="str">
        <f t="shared" si="1"/>
        <v>51.453979 25.260418</v>
      </c>
      <c r="D471" s="30">
        <v>55.0</v>
      </c>
      <c r="E471" s="36" t="s">
        <v>310</v>
      </c>
      <c r="F471" s="32" t="s">
        <v>1522</v>
      </c>
      <c r="G471" s="30" t="s">
        <v>190</v>
      </c>
      <c r="H471" s="33">
        <v>46102.0</v>
      </c>
      <c r="I471" s="30" t="s">
        <v>1523</v>
      </c>
      <c r="J471" s="30" t="s">
        <v>201</v>
      </c>
      <c r="K471" s="34" t="s">
        <v>202</v>
      </c>
      <c r="L471" s="35"/>
      <c r="M471" s="30">
        <v>3.0</v>
      </c>
      <c r="N471" s="30" t="s">
        <v>304</v>
      </c>
      <c r="O471" s="30" t="s">
        <v>194</v>
      </c>
      <c r="P471" s="30">
        <v>160.0</v>
      </c>
      <c r="Q471" s="30" t="s">
        <v>195</v>
      </c>
      <c r="R471" s="30" t="s">
        <v>196</v>
      </c>
      <c r="S471" s="30" t="s">
        <v>197</v>
      </c>
      <c r="T471" s="30" t="s">
        <v>1524</v>
      </c>
      <c r="U471" s="30">
        <v>2.0142636E7</v>
      </c>
    </row>
    <row r="472">
      <c r="A472" s="30">
        <v>51.463581</v>
      </c>
      <c r="B472" s="30">
        <v>25.264347</v>
      </c>
      <c r="C472" s="30" t="str">
        <f t="shared" si="1"/>
        <v>51.463581 25.264347</v>
      </c>
      <c r="D472" s="30">
        <v>55.0</v>
      </c>
      <c r="E472" s="39" t="s">
        <v>323</v>
      </c>
      <c r="F472" s="32" t="s">
        <v>1525</v>
      </c>
      <c r="G472" s="30" t="s">
        <v>190</v>
      </c>
      <c r="H472" s="33">
        <v>46097.0</v>
      </c>
      <c r="I472" s="30">
        <v>1393642.0</v>
      </c>
      <c r="J472" s="30" t="s">
        <v>1526</v>
      </c>
      <c r="K472" s="43" t="s">
        <v>202</v>
      </c>
      <c r="L472" s="35"/>
      <c r="M472" s="30">
        <v>3.0</v>
      </c>
      <c r="N472" s="30" t="s">
        <v>216</v>
      </c>
      <c r="O472" s="30" t="s">
        <v>194</v>
      </c>
      <c r="P472" s="30">
        <v>160.0</v>
      </c>
      <c r="Q472" s="30" t="s">
        <v>221</v>
      </c>
      <c r="R472" s="30" t="s">
        <v>222</v>
      </c>
      <c r="S472" s="30" t="s">
        <v>197</v>
      </c>
      <c r="T472" s="30" t="s">
        <v>1527</v>
      </c>
      <c r="U472" s="30">
        <v>2.0142637E7</v>
      </c>
    </row>
    <row r="473">
      <c r="A473" s="30">
        <v>51.459833</v>
      </c>
      <c r="B473" s="30">
        <v>25.263659</v>
      </c>
      <c r="C473" s="30" t="str">
        <f t="shared" si="1"/>
        <v>51.459833 25.263659</v>
      </c>
      <c r="D473" s="30">
        <v>54.0</v>
      </c>
      <c r="E473" s="39" t="s">
        <v>471</v>
      </c>
      <c r="F473" s="32" t="s">
        <v>1528</v>
      </c>
      <c r="G473" s="30" t="s">
        <v>190</v>
      </c>
      <c r="H473" s="33">
        <v>46097.0</v>
      </c>
      <c r="I473" s="30">
        <v>1393638.0</v>
      </c>
      <c r="J473" s="30" t="s">
        <v>1529</v>
      </c>
      <c r="K473" s="43" t="s">
        <v>202</v>
      </c>
      <c r="L473" s="35"/>
      <c r="M473" s="30">
        <v>3.0</v>
      </c>
      <c r="N473" s="30" t="s">
        <v>216</v>
      </c>
      <c r="O473" s="30" t="s">
        <v>194</v>
      </c>
      <c r="P473" s="30">
        <v>160.0</v>
      </c>
      <c r="Q473" s="30" t="s">
        <v>221</v>
      </c>
      <c r="R473" s="30" t="s">
        <v>222</v>
      </c>
      <c r="S473" s="30" t="s">
        <v>197</v>
      </c>
      <c r="T473" s="30" t="s">
        <v>1530</v>
      </c>
      <c r="U473" s="30">
        <v>2.0142638E7</v>
      </c>
    </row>
    <row r="474">
      <c r="A474" s="30">
        <v>51.468407</v>
      </c>
      <c r="B474" s="30">
        <v>25.266308</v>
      </c>
      <c r="C474" s="30" t="str">
        <f t="shared" si="1"/>
        <v>51.468407 25.266308</v>
      </c>
      <c r="D474" s="30">
        <v>55.0</v>
      </c>
      <c r="E474" s="39" t="s">
        <v>479</v>
      </c>
      <c r="F474" s="32" t="s">
        <v>1531</v>
      </c>
      <c r="G474" s="30" t="s">
        <v>190</v>
      </c>
      <c r="H474" s="33">
        <v>46097.0</v>
      </c>
      <c r="I474" s="30" t="s">
        <v>1532</v>
      </c>
      <c r="J474" s="30" t="s">
        <v>1533</v>
      </c>
      <c r="K474" s="43" t="s">
        <v>202</v>
      </c>
      <c r="L474" s="35"/>
      <c r="M474" s="30">
        <v>3.0</v>
      </c>
      <c r="N474" s="30" t="s">
        <v>216</v>
      </c>
      <c r="O474" s="30" t="s">
        <v>194</v>
      </c>
      <c r="P474" s="30">
        <v>160.0</v>
      </c>
      <c r="Q474" s="30" t="s">
        <v>221</v>
      </c>
      <c r="R474" s="30" t="s">
        <v>222</v>
      </c>
      <c r="S474" s="30" t="s">
        <v>197</v>
      </c>
      <c r="T474" s="30" t="s">
        <v>1534</v>
      </c>
      <c r="U474" s="30">
        <v>2.0142639E7</v>
      </c>
    </row>
    <row r="475">
      <c r="A475" s="30">
        <v>51.584297</v>
      </c>
      <c r="B475" s="30">
        <v>25.168155</v>
      </c>
      <c r="C475" s="30" t="str">
        <f t="shared" si="1"/>
        <v>51.584297 25.168155</v>
      </c>
      <c r="D475" s="30">
        <v>91.0</v>
      </c>
      <c r="E475" s="39" t="s">
        <v>440</v>
      </c>
      <c r="F475" s="40" t="s">
        <v>225</v>
      </c>
      <c r="G475" s="41" t="s">
        <v>190</v>
      </c>
      <c r="H475" s="42">
        <v>46086.0</v>
      </c>
      <c r="I475" s="41" t="s">
        <v>1535</v>
      </c>
      <c r="J475" s="41" t="s">
        <v>1536</v>
      </c>
      <c r="K475" s="37" t="s">
        <v>202</v>
      </c>
      <c r="L475" s="41" t="s">
        <v>1537</v>
      </c>
      <c r="M475" s="41">
        <v>2.0</v>
      </c>
      <c r="N475" s="41" t="s">
        <v>220</v>
      </c>
      <c r="O475" s="30" t="s">
        <v>194</v>
      </c>
      <c r="P475" s="30">
        <v>160.0</v>
      </c>
      <c r="Q475" s="30" t="s">
        <v>221</v>
      </c>
      <c r="R475" s="30" t="s">
        <v>222</v>
      </c>
      <c r="S475" s="30" t="s">
        <v>197</v>
      </c>
      <c r="T475" s="30" t="s">
        <v>1538</v>
      </c>
      <c r="U475" s="30">
        <v>2.014264E7</v>
      </c>
    </row>
    <row r="476">
      <c r="A476" s="30">
        <v>51.591093</v>
      </c>
      <c r="B476" s="30">
        <v>25.171043</v>
      </c>
      <c r="C476" s="30" t="str">
        <f t="shared" si="1"/>
        <v>51.591093 25.171043</v>
      </c>
      <c r="D476" s="30">
        <v>90.0</v>
      </c>
      <c r="E476" s="39" t="s">
        <v>1539</v>
      </c>
      <c r="F476" s="40" t="s">
        <v>201</v>
      </c>
      <c r="G476" s="30" t="s">
        <v>190</v>
      </c>
      <c r="H476" s="33">
        <v>46088.0</v>
      </c>
      <c r="I476" s="30">
        <v>1394007.0</v>
      </c>
      <c r="J476" s="30" t="s">
        <v>201</v>
      </c>
      <c r="K476" s="37" t="s">
        <v>202</v>
      </c>
      <c r="L476" s="30" t="s">
        <v>195</v>
      </c>
      <c r="M476" s="30">
        <v>2.0</v>
      </c>
      <c r="N476" s="30" t="s">
        <v>220</v>
      </c>
      <c r="O476" s="30" t="s">
        <v>194</v>
      </c>
      <c r="P476" s="30">
        <v>160.0</v>
      </c>
      <c r="Q476" s="30" t="s">
        <v>221</v>
      </c>
      <c r="R476" s="30" t="s">
        <v>222</v>
      </c>
      <c r="S476" s="30" t="s">
        <v>197</v>
      </c>
      <c r="T476" s="30" t="s">
        <v>1540</v>
      </c>
      <c r="U476" s="30">
        <v>2.0142641E7</v>
      </c>
    </row>
    <row r="477">
      <c r="A477" s="30">
        <v>51.597271</v>
      </c>
      <c r="B477" s="30">
        <v>25.172742</v>
      </c>
      <c r="C477" s="30" t="str">
        <f t="shared" si="1"/>
        <v>51.597271 25.172742</v>
      </c>
      <c r="D477" s="30">
        <v>90.0</v>
      </c>
      <c r="E477" s="39" t="s">
        <v>1541</v>
      </c>
      <c r="F477" s="30" t="s">
        <v>1542</v>
      </c>
      <c r="G477" s="30" t="s">
        <v>190</v>
      </c>
      <c r="H477" s="33">
        <v>46088.0</v>
      </c>
      <c r="I477" s="30">
        <v>1394006.0</v>
      </c>
      <c r="J477" s="32" t="s">
        <v>1543</v>
      </c>
      <c r="K477" s="37" t="s">
        <v>202</v>
      </c>
      <c r="L477" s="30" t="s">
        <v>195</v>
      </c>
      <c r="M477" s="30">
        <v>4.0</v>
      </c>
      <c r="N477" s="30" t="s">
        <v>220</v>
      </c>
      <c r="O477" s="30" t="s">
        <v>194</v>
      </c>
      <c r="P477" s="30">
        <v>160.0</v>
      </c>
      <c r="Q477" s="30" t="s">
        <v>221</v>
      </c>
      <c r="R477" s="30" t="s">
        <v>222</v>
      </c>
      <c r="S477" s="30" t="s">
        <v>197</v>
      </c>
      <c r="T477" s="30" t="s">
        <v>1544</v>
      </c>
      <c r="U477" s="30">
        <v>2.0142643E7</v>
      </c>
    </row>
    <row r="478">
      <c r="A478" s="30">
        <v>51.600344</v>
      </c>
      <c r="B478" s="30">
        <v>25.172007</v>
      </c>
      <c r="C478" s="30" t="str">
        <f t="shared" si="1"/>
        <v>51.600344 25.172007</v>
      </c>
      <c r="D478" s="30">
        <v>90.0</v>
      </c>
      <c r="E478" s="39" t="s">
        <v>1545</v>
      </c>
      <c r="F478" s="30" t="s">
        <v>1546</v>
      </c>
      <c r="G478" s="30" t="s">
        <v>190</v>
      </c>
      <c r="H478" s="33">
        <v>46088.0</v>
      </c>
      <c r="I478" s="30">
        <v>1394011.0</v>
      </c>
      <c r="J478" s="30" t="s">
        <v>1547</v>
      </c>
      <c r="K478" s="37" t="s">
        <v>202</v>
      </c>
      <c r="L478" s="30" t="s">
        <v>195</v>
      </c>
      <c r="M478" s="30">
        <v>2.0</v>
      </c>
      <c r="N478" s="30" t="s">
        <v>220</v>
      </c>
      <c r="O478" s="30" t="s">
        <v>194</v>
      </c>
      <c r="P478" s="30">
        <v>160.0</v>
      </c>
      <c r="Q478" s="30" t="s">
        <v>221</v>
      </c>
      <c r="R478" s="30" t="s">
        <v>222</v>
      </c>
      <c r="S478" s="30" t="s">
        <v>197</v>
      </c>
      <c r="T478" s="30" t="s">
        <v>1548</v>
      </c>
      <c r="U478" s="30">
        <v>2.0142644E7</v>
      </c>
    </row>
    <row r="479">
      <c r="A479" s="30">
        <v>51.544912</v>
      </c>
      <c r="B479" s="30">
        <v>25.197164</v>
      </c>
      <c r="C479" s="30" t="str">
        <f t="shared" si="1"/>
        <v>51.544912 25.197164</v>
      </c>
      <c r="D479" s="30">
        <v>91.0</v>
      </c>
      <c r="E479" s="36" t="s">
        <v>496</v>
      </c>
      <c r="F479" s="30" t="s">
        <v>1549</v>
      </c>
      <c r="G479" s="30" t="s">
        <v>190</v>
      </c>
      <c r="H479" s="33">
        <v>46098.0</v>
      </c>
      <c r="I479" s="30" t="s">
        <v>201</v>
      </c>
      <c r="J479" s="30" t="s">
        <v>201</v>
      </c>
      <c r="K479" s="37" t="s">
        <v>202</v>
      </c>
      <c r="L479" s="35"/>
      <c r="M479" s="30">
        <v>3.0</v>
      </c>
      <c r="N479" s="30" t="s">
        <v>220</v>
      </c>
      <c r="O479" s="30" t="s">
        <v>194</v>
      </c>
      <c r="P479" s="30">
        <v>160.0</v>
      </c>
      <c r="Q479" s="30" t="s">
        <v>195</v>
      </c>
      <c r="R479" s="30" t="s">
        <v>196</v>
      </c>
      <c r="S479" s="30" t="s">
        <v>197</v>
      </c>
      <c r="T479" s="30" t="s">
        <v>1550</v>
      </c>
      <c r="U479" s="30">
        <v>2.0142982E7</v>
      </c>
    </row>
    <row r="480">
      <c r="A480" s="30">
        <v>51.542972</v>
      </c>
      <c r="B480" s="30">
        <v>25.195251</v>
      </c>
      <c r="C480" s="30" t="str">
        <f t="shared" si="1"/>
        <v>51.542972 25.195251</v>
      </c>
      <c r="D480" s="30">
        <v>57.0</v>
      </c>
      <c r="E480" s="36" t="s">
        <v>1197</v>
      </c>
      <c r="F480" s="30" t="s">
        <v>1551</v>
      </c>
      <c r="G480" s="30" t="s">
        <v>190</v>
      </c>
      <c r="H480" s="33">
        <v>46076.0</v>
      </c>
      <c r="I480" s="30">
        <v>1241929.0</v>
      </c>
      <c r="J480" s="30" t="s">
        <v>201</v>
      </c>
      <c r="K480" s="43" t="s">
        <v>202</v>
      </c>
      <c r="L480" s="34" t="s">
        <v>195</v>
      </c>
      <c r="M480" s="30">
        <v>3.0</v>
      </c>
      <c r="N480" s="30" t="s">
        <v>356</v>
      </c>
      <c r="O480" s="30" t="s">
        <v>194</v>
      </c>
      <c r="P480" s="30">
        <v>160.0</v>
      </c>
      <c r="Q480" s="30" t="s">
        <v>221</v>
      </c>
      <c r="R480" s="30" t="s">
        <v>222</v>
      </c>
      <c r="S480" s="30" t="s">
        <v>197</v>
      </c>
      <c r="T480" s="30" t="s">
        <v>1552</v>
      </c>
      <c r="U480" s="30">
        <v>2.0142983E7</v>
      </c>
    </row>
    <row r="481">
      <c r="A481" s="30">
        <v>51.54296</v>
      </c>
      <c r="B481" s="30">
        <v>25.207342</v>
      </c>
      <c r="C481" s="30" t="str">
        <f t="shared" si="1"/>
        <v>51.54296 25.207342</v>
      </c>
      <c r="D481" s="30">
        <v>50.0</v>
      </c>
      <c r="E481" s="36" t="s">
        <v>1553</v>
      </c>
      <c r="F481" s="30" t="s">
        <v>1554</v>
      </c>
      <c r="G481" s="30" t="s">
        <v>190</v>
      </c>
      <c r="H481" s="33">
        <v>46091.0</v>
      </c>
      <c r="I481" s="30">
        <v>1391219.0</v>
      </c>
      <c r="J481" s="30" t="s">
        <v>1555</v>
      </c>
      <c r="K481" s="37" t="s">
        <v>202</v>
      </c>
      <c r="L481" s="30" t="s">
        <v>221</v>
      </c>
      <c r="M481" s="30">
        <v>3.0</v>
      </c>
      <c r="N481" s="30" t="s">
        <v>216</v>
      </c>
      <c r="O481" s="30" t="s">
        <v>194</v>
      </c>
      <c r="P481" s="30">
        <v>160.0</v>
      </c>
      <c r="Q481" s="30" t="s">
        <v>195</v>
      </c>
      <c r="R481" s="30" t="s">
        <v>196</v>
      </c>
      <c r="S481" s="30" t="s">
        <v>197</v>
      </c>
      <c r="T481" s="30" t="s">
        <v>1556</v>
      </c>
      <c r="U481" s="30">
        <v>2.0142984E7</v>
      </c>
    </row>
    <row r="482">
      <c r="A482" s="30">
        <v>51.543797</v>
      </c>
      <c r="B482" s="30">
        <v>25.206827</v>
      </c>
      <c r="C482" s="30" t="str">
        <f t="shared" si="1"/>
        <v>51.543797 25.206827</v>
      </c>
      <c r="D482" s="30">
        <v>50.0</v>
      </c>
      <c r="E482" s="36" t="s">
        <v>536</v>
      </c>
      <c r="F482" s="32" t="s">
        <v>1557</v>
      </c>
      <c r="G482" s="30" t="s">
        <v>190</v>
      </c>
      <c r="H482" s="33">
        <v>46091.0</v>
      </c>
      <c r="I482" s="30" t="s">
        <v>201</v>
      </c>
      <c r="J482" s="30" t="s">
        <v>1558</v>
      </c>
      <c r="K482" s="37" t="s">
        <v>202</v>
      </c>
      <c r="L482" s="30" t="s">
        <v>195</v>
      </c>
      <c r="M482" s="30">
        <v>3.0</v>
      </c>
      <c r="N482" s="30" t="s">
        <v>216</v>
      </c>
      <c r="O482" s="30" t="s">
        <v>194</v>
      </c>
      <c r="P482" s="30">
        <v>160.0</v>
      </c>
      <c r="Q482" s="30" t="s">
        <v>195</v>
      </c>
      <c r="R482" s="30" t="s">
        <v>196</v>
      </c>
      <c r="S482" s="30" t="s">
        <v>197</v>
      </c>
      <c r="T482" s="30" t="s">
        <v>1559</v>
      </c>
      <c r="U482" s="30">
        <v>2.0142985E7</v>
      </c>
    </row>
    <row r="483">
      <c r="A483" s="30">
        <v>51.547635</v>
      </c>
      <c r="B483" s="30">
        <v>25.207704</v>
      </c>
      <c r="C483" s="30" t="str">
        <f t="shared" si="1"/>
        <v>51.547635 25.207704</v>
      </c>
      <c r="D483" s="30">
        <v>50.0</v>
      </c>
      <c r="E483" s="36" t="s">
        <v>1363</v>
      </c>
      <c r="F483" s="32" t="s">
        <v>1560</v>
      </c>
      <c r="G483" s="30" t="s">
        <v>190</v>
      </c>
      <c r="H483" s="33">
        <v>46084.0</v>
      </c>
      <c r="I483" s="30">
        <v>1391222.0</v>
      </c>
      <c r="J483" s="30" t="s">
        <v>1561</v>
      </c>
      <c r="K483" s="37" t="s">
        <v>202</v>
      </c>
      <c r="L483" s="30" t="s">
        <v>195</v>
      </c>
      <c r="M483" s="30">
        <v>3.0</v>
      </c>
      <c r="N483" s="30" t="s">
        <v>216</v>
      </c>
      <c r="O483" s="30" t="s">
        <v>194</v>
      </c>
      <c r="P483" s="30">
        <v>160.0</v>
      </c>
      <c r="Q483" s="30" t="s">
        <v>195</v>
      </c>
      <c r="R483" s="30" t="s">
        <v>196</v>
      </c>
      <c r="S483" s="30" t="s">
        <v>197</v>
      </c>
      <c r="T483" s="30" t="s">
        <v>1562</v>
      </c>
      <c r="U483" s="30">
        <v>2.0142986E7</v>
      </c>
    </row>
    <row r="484">
      <c r="A484" s="30">
        <v>51.553583</v>
      </c>
      <c r="B484" s="30">
        <v>25.207674</v>
      </c>
      <c r="C484" s="30" t="str">
        <f t="shared" si="1"/>
        <v>51.553583 25.207674</v>
      </c>
      <c r="D484" s="30">
        <v>91.0</v>
      </c>
      <c r="E484" s="39" t="s">
        <v>414</v>
      </c>
      <c r="F484" s="40" t="s">
        <v>1563</v>
      </c>
      <c r="G484" s="41" t="s">
        <v>190</v>
      </c>
      <c r="H484" s="42">
        <v>46084.0</v>
      </c>
      <c r="I484" s="41">
        <v>1390701.0</v>
      </c>
      <c r="J484" s="30" t="s">
        <v>201</v>
      </c>
      <c r="K484" s="37" t="s">
        <v>202</v>
      </c>
      <c r="L484" s="41" t="s">
        <v>195</v>
      </c>
      <c r="M484" s="41">
        <v>2.0</v>
      </c>
      <c r="N484" s="30" t="s">
        <v>193</v>
      </c>
      <c r="O484" s="30" t="s">
        <v>194</v>
      </c>
      <c r="P484" s="30">
        <v>160.0</v>
      </c>
      <c r="Q484" s="30" t="s">
        <v>195</v>
      </c>
      <c r="R484" s="30" t="s">
        <v>196</v>
      </c>
      <c r="S484" s="30" t="s">
        <v>197</v>
      </c>
      <c r="T484" s="30" t="s">
        <v>1564</v>
      </c>
      <c r="U484" s="30">
        <v>2.0142987E7</v>
      </c>
    </row>
    <row r="485">
      <c r="A485" s="30">
        <v>51.546394</v>
      </c>
      <c r="B485" s="30">
        <v>25.204887</v>
      </c>
      <c r="C485" s="30" t="str">
        <f t="shared" si="1"/>
        <v>51.546394 25.204887</v>
      </c>
      <c r="D485" s="30">
        <v>91.0</v>
      </c>
      <c r="E485" s="36" t="s">
        <v>519</v>
      </c>
      <c r="F485" s="32" t="s">
        <v>1565</v>
      </c>
      <c r="G485" s="30" t="s">
        <v>190</v>
      </c>
      <c r="H485" s="33">
        <v>46097.0</v>
      </c>
      <c r="I485" s="30">
        <v>1391223.0</v>
      </c>
      <c r="J485" s="30" t="s">
        <v>1566</v>
      </c>
      <c r="K485" s="34" t="s">
        <v>252</v>
      </c>
      <c r="L485" s="35"/>
      <c r="M485" s="30">
        <v>3.0</v>
      </c>
      <c r="N485" s="30" t="s">
        <v>193</v>
      </c>
      <c r="O485" s="30" t="s">
        <v>194</v>
      </c>
      <c r="P485" s="30">
        <v>160.0</v>
      </c>
      <c r="Q485" s="30" t="s">
        <v>195</v>
      </c>
      <c r="R485" s="30" t="s">
        <v>196</v>
      </c>
      <c r="S485" s="30" t="s">
        <v>197</v>
      </c>
      <c r="T485" s="30" t="s">
        <v>1567</v>
      </c>
      <c r="U485" s="30">
        <v>2.0142988E7</v>
      </c>
    </row>
    <row r="486">
      <c r="A486" s="30">
        <v>51.556299</v>
      </c>
      <c r="B486" s="30">
        <v>25.209506</v>
      </c>
      <c r="C486" s="30" t="str">
        <f t="shared" si="1"/>
        <v>51.556299 25.209506</v>
      </c>
      <c r="D486" s="30">
        <v>91.0</v>
      </c>
      <c r="E486" s="39" t="s">
        <v>1568</v>
      </c>
      <c r="F486" s="40" t="s">
        <v>1569</v>
      </c>
      <c r="G486" s="41" t="s">
        <v>190</v>
      </c>
      <c r="H486" s="42">
        <v>46084.0</v>
      </c>
      <c r="I486" s="41">
        <v>1390608.0</v>
      </c>
      <c r="J486" s="30" t="s">
        <v>201</v>
      </c>
      <c r="K486" s="37" t="s">
        <v>202</v>
      </c>
      <c r="L486" s="41" t="s">
        <v>446</v>
      </c>
      <c r="M486" s="41">
        <v>2.0</v>
      </c>
      <c r="N486" s="30" t="s">
        <v>193</v>
      </c>
      <c r="O486" s="30" t="s">
        <v>194</v>
      </c>
      <c r="P486" s="30">
        <v>160.0</v>
      </c>
      <c r="Q486" s="30" t="s">
        <v>195</v>
      </c>
      <c r="R486" s="30" t="s">
        <v>196</v>
      </c>
      <c r="S486" s="30" t="s">
        <v>197</v>
      </c>
      <c r="T486" s="30" t="s">
        <v>1570</v>
      </c>
      <c r="U486" s="30">
        <v>2.0142989E7</v>
      </c>
    </row>
    <row r="487">
      <c r="A487" s="30">
        <v>51.558347</v>
      </c>
      <c r="B487" s="30">
        <v>25.210248</v>
      </c>
      <c r="C487" s="30" t="str">
        <f t="shared" si="1"/>
        <v>51.558347 25.210248</v>
      </c>
      <c r="D487" s="30">
        <v>91.0</v>
      </c>
      <c r="E487" s="36" t="s">
        <v>269</v>
      </c>
      <c r="F487" s="32" t="s">
        <v>1571</v>
      </c>
      <c r="G487" s="30" t="s">
        <v>190</v>
      </c>
      <c r="H487" s="33">
        <v>46097.0</v>
      </c>
      <c r="I487" s="30" t="s">
        <v>1572</v>
      </c>
      <c r="J487" s="30" t="s">
        <v>1573</v>
      </c>
      <c r="K487" s="34" t="s">
        <v>252</v>
      </c>
      <c r="L487" s="35"/>
      <c r="M487" s="30">
        <v>3.0</v>
      </c>
      <c r="N487" s="30" t="s">
        <v>193</v>
      </c>
      <c r="O487" s="30" t="s">
        <v>194</v>
      </c>
      <c r="P487" s="30">
        <v>160.0</v>
      </c>
      <c r="Q487" s="30" t="s">
        <v>195</v>
      </c>
      <c r="R487" s="30" t="s">
        <v>196</v>
      </c>
      <c r="S487" s="30" t="s">
        <v>197</v>
      </c>
      <c r="T487" s="30" t="s">
        <v>1574</v>
      </c>
      <c r="U487" s="30">
        <v>2.014299E7</v>
      </c>
    </row>
    <row r="488">
      <c r="A488" s="30">
        <v>51.556204</v>
      </c>
      <c r="B488" s="30">
        <v>25.210746</v>
      </c>
      <c r="C488" s="30" t="str">
        <f t="shared" si="1"/>
        <v>51.556204 25.210746</v>
      </c>
      <c r="D488" s="30">
        <v>50.0</v>
      </c>
      <c r="E488" s="36" t="s">
        <v>1575</v>
      </c>
      <c r="F488" s="32" t="s">
        <v>1576</v>
      </c>
      <c r="G488" s="30" t="s">
        <v>190</v>
      </c>
      <c r="H488" s="33">
        <v>46084.0</v>
      </c>
      <c r="I488" s="30">
        <v>1390609.0</v>
      </c>
      <c r="J488" s="30" t="s">
        <v>1577</v>
      </c>
      <c r="K488" s="37" t="s">
        <v>202</v>
      </c>
      <c r="L488" s="30" t="s">
        <v>221</v>
      </c>
      <c r="M488" s="30">
        <v>3.0</v>
      </c>
      <c r="N488" s="30" t="s">
        <v>216</v>
      </c>
      <c r="O488" s="30" t="s">
        <v>194</v>
      </c>
      <c r="P488" s="30">
        <v>160.0</v>
      </c>
      <c r="Q488" s="30" t="s">
        <v>221</v>
      </c>
      <c r="R488" s="30" t="s">
        <v>222</v>
      </c>
      <c r="S488" s="30" t="s">
        <v>197</v>
      </c>
      <c r="T488" s="30" t="s">
        <v>1578</v>
      </c>
      <c r="U488" s="30">
        <v>2.0142991E7</v>
      </c>
    </row>
    <row r="489">
      <c r="A489" s="30">
        <v>51.558687</v>
      </c>
      <c r="B489" s="30">
        <v>25.211699</v>
      </c>
      <c r="C489" s="30" t="str">
        <f t="shared" si="1"/>
        <v>51.558687 25.211699</v>
      </c>
      <c r="D489" s="30">
        <v>50.0</v>
      </c>
      <c r="E489" s="36" t="s">
        <v>435</v>
      </c>
      <c r="F489" s="32" t="s">
        <v>1579</v>
      </c>
      <c r="G489" s="30" t="s">
        <v>190</v>
      </c>
      <c r="H489" s="33">
        <v>46084.0</v>
      </c>
      <c r="I489" s="30" t="s">
        <v>201</v>
      </c>
      <c r="J489" s="30" t="s">
        <v>1580</v>
      </c>
      <c r="K489" s="37" t="s">
        <v>202</v>
      </c>
      <c r="L489" s="30" t="s">
        <v>195</v>
      </c>
      <c r="M489" s="30">
        <v>3.0</v>
      </c>
      <c r="N489" s="30" t="s">
        <v>216</v>
      </c>
      <c r="O489" s="30" t="s">
        <v>194</v>
      </c>
      <c r="P489" s="30">
        <v>160.0</v>
      </c>
      <c r="Q489" s="30" t="s">
        <v>195</v>
      </c>
      <c r="R489" s="30" t="s">
        <v>196</v>
      </c>
      <c r="S489" s="30" t="s">
        <v>197</v>
      </c>
      <c r="T489" s="30" t="s">
        <v>1581</v>
      </c>
      <c r="U489" s="30">
        <v>2.0142992E7</v>
      </c>
    </row>
    <row r="490">
      <c r="A490" s="30">
        <v>51.563659</v>
      </c>
      <c r="B490" s="30">
        <v>25.21354</v>
      </c>
      <c r="C490" s="30" t="str">
        <f t="shared" si="1"/>
        <v>51.563659 25.21354</v>
      </c>
      <c r="D490" s="30">
        <v>50.0</v>
      </c>
      <c r="E490" s="36" t="s">
        <v>275</v>
      </c>
      <c r="F490" s="32" t="s">
        <v>1582</v>
      </c>
      <c r="G490" s="30" t="s">
        <v>190</v>
      </c>
      <c r="H490" s="33">
        <v>46084.0</v>
      </c>
      <c r="I490" s="30">
        <v>1390610.0</v>
      </c>
      <c r="J490" s="30" t="s">
        <v>1583</v>
      </c>
      <c r="K490" s="37" t="s">
        <v>202</v>
      </c>
      <c r="L490" s="30" t="s">
        <v>195</v>
      </c>
      <c r="M490" s="30">
        <v>3.0</v>
      </c>
      <c r="N490" s="30" t="s">
        <v>216</v>
      </c>
      <c r="O490" s="30" t="s">
        <v>194</v>
      </c>
      <c r="P490" s="30">
        <v>160.0</v>
      </c>
      <c r="Q490" s="30" t="s">
        <v>195</v>
      </c>
      <c r="R490" s="30" t="s">
        <v>196</v>
      </c>
      <c r="S490" s="30" t="s">
        <v>197</v>
      </c>
      <c r="T490" s="30" t="s">
        <v>1584</v>
      </c>
      <c r="U490" s="30">
        <v>2.0142993E7</v>
      </c>
    </row>
    <row r="491">
      <c r="A491" s="30">
        <v>51.563135</v>
      </c>
      <c r="B491" s="30">
        <v>25.212118</v>
      </c>
      <c r="C491" s="30" t="str">
        <f t="shared" si="1"/>
        <v>51.563135 25.212118</v>
      </c>
      <c r="D491" s="30">
        <v>50.0</v>
      </c>
      <c r="E491" s="39" t="s">
        <v>1374</v>
      </c>
      <c r="F491" s="40" t="s">
        <v>1585</v>
      </c>
      <c r="G491" s="41" t="s">
        <v>303</v>
      </c>
      <c r="H491" s="42">
        <v>46084.0</v>
      </c>
      <c r="I491" s="41">
        <v>1390811.0</v>
      </c>
      <c r="J491" s="41" t="s">
        <v>1586</v>
      </c>
      <c r="K491" s="37" t="s">
        <v>202</v>
      </c>
      <c r="L491" s="41" t="s">
        <v>195</v>
      </c>
      <c r="M491" s="41">
        <v>2.0</v>
      </c>
      <c r="N491" s="30" t="s">
        <v>193</v>
      </c>
      <c r="O491" s="30" t="s">
        <v>194</v>
      </c>
      <c r="P491" s="30">
        <v>160.0</v>
      </c>
      <c r="Q491" s="30" t="s">
        <v>195</v>
      </c>
      <c r="R491" s="30" t="s">
        <v>196</v>
      </c>
      <c r="S491" s="30" t="s">
        <v>197</v>
      </c>
      <c r="T491" s="30" t="s">
        <v>1587</v>
      </c>
      <c r="U491" s="30">
        <v>2.0142994E7</v>
      </c>
    </row>
    <row r="492">
      <c r="A492" s="30">
        <v>51.565632</v>
      </c>
      <c r="B492" s="30">
        <v>25.213129</v>
      </c>
      <c r="C492" s="30" t="str">
        <f t="shared" si="1"/>
        <v>51.565632 25.213129</v>
      </c>
      <c r="D492" s="30">
        <v>50.0</v>
      </c>
      <c r="E492" s="36" t="s">
        <v>1374</v>
      </c>
      <c r="F492" s="32" t="s">
        <v>1588</v>
      </c>
      <c r="G492" s="30" t="s">
        <v>190</v>
      </c>
      <c r="H492" s="33">
        <v>46085.0</v>
      </c>
      <c r="I492" s="30">
        <v>1390611.0</v>
      </c>
      <c r="J492" s="30" t="s">
        <v>201</v>
      </c>
      <c r="K492" s="37" t="s">
        <v>202</v>
      </c>
      <c r="L492" s="35"/>
      <c r="M492" s="30">
        <v>3.0</v>
      </c>
      <c r="N492" s="30" t="s">
        <v>193</v>
      </c>
      <c r="O492" s="30" t="s">
        <v>194</v>
      </c>
      <c r="P492" s="30">
        <v>160.0</v>
      </c>
      <c r="Q492" s="36" t="s">
        <v>221</v>
      </c>
      <c r="R492" s="36" t="s">
        <v>196</v>
      </c>
      <c r="S492" s="30" t="s">
        <v>197</v>
      </c>
      <c r="T492" s="30" t="s">
        <v>1589</v>
      </c>
      <c r="U492" s="30">
        <v>2.0142995E7</v>
      </c>
    </row>
    <row r="493">
      <c r="A493" s="30">
        <v>51.56632</v>
      </c>
      <c r="B493" s="30">
        <v>25.215396</v>
      </c>
      <c r="C493" s="30" t="str">
        <f t="shared" si="1"/>
        <v>51.56632 25.215396</v>
      </c>
      <c r="D493" s="30">
        <v>50.0</v>
      </c>
      <c r="E493" s="36" t="s">
        <v>1590</v>
      </c>
      <c r="F493" s="32" t="s">
        <v>1377</v>
      </c>
      <c r="G493" s="30" t="s">
        <v>190</v>
      </c>
      <c r="H493" s="33">
        <v>46085.0</v>
      </c>
      <c r="I493" s="30">
        <v>1390612.0</v>
      </c>
      <c r="J493" s="30" t="s">
        <v>1591</v>
      </c>
      <c r="K493" s="37" t="s">
        <v>202</v>
      </c>
      <c r="L493" s="30" t="s">
        <v>1509</v>
      </c>
      <c r="M493" s="30">
        <v>3.0</v>
      </c>
      <c r="N493" s="30" t="s">
        <v>216</v>
      </c>
      <c r="O493" s="30" t="s">
        <v>194</v>
      </c>
      <c r="P493" s="30">
        <v>160.0</v>
      </c>
      <c r="Q493" s="30" t="s">
        <v>221</v>
      </c>
      <c r="R493" s="30" t="s">
        <v>196</v>
      </c>
      <c r="S493" s="30" t="s">
        <v>197</v>
      </c>
      <c r="T493" s="30" t="s">
        <v>1592</v>
      </c>
      <c r="U493" s="30">
        <v>2.0142996E7</v>
      </c>
    </row>
    <row r="494">
      <c r="A494" s="30">
        <v>51.569821</v>
      </c>
      <c r="B494" s="30">
        <v>25.215824</v>
      </c>
      <c r="C494" s="30" t="str">
        <f t="shared" si="1"/>
        <v>51.569821 25.215824</v>
      </c>
      <c r="D494" s="30">
        <v>50.0</v>
      </c>
      <c r="E494" s="36" t="s">
        <v>1377</v>
      </c>
      <c r="F494" s="32" t="s">
        <v>1593</v>
      </c>
      <c r="G494" s="30" t="s">
        <v>190</v>
      </c>
      <c r="H494" s="33">
        <v>46084.0</v>
      </c>
      <c r="I494" s="30" t="s">
        <v>201</v>
      </c>
      <c r="J494" s="30" t="s">
        <v>1594</v>
      </c>
      <c r="K494" s="37" t="s">
        <v>202</v>
      </c>
      <c r="L494" s="30" t="s">
        <v>195</v>
      </c>
      <c r="M494" s="30">
        <v>3.0</v>
      </c>
      <c r="N494" s="30" t="s">
        <v>216</v>
      </c>
      <c r="O494" s="30" t="s">
        <v>194</v>
      </c>
      <c r="P494" s="30">
        <v>160.0</v>
      </c>
      <c r="Q494" s="30" t="s">
        <v>221</v>
      </c>
      <c r="R494" s="30" t="s">
        <v>222</v>
      </c>
      <c r="S494" s="30" t="s">
        <v>197</v>
      </c>
      <c r="T494" s="30" t="s">
        <v>1595</v>
      </c>
      <c r="U494" s="30">
        <v>2.0142997E7</v>
      </c>
    </row>
    <row r="495">
      <c r="A495" s="30">
        <v>51.572054</v>
      </c>
      <c r="B495" s="30">
        <v>25.21464</v>
      </c>
      <c r="C495" s="30" t="str">
        <f t="shared" si="1"/>
        <v>51.572054 25.21464</v>
      </c>
      <c r="D495" s="30">
        <v>91.0</v>
      </c>
      <c r="E495" s="36" t="s">
        <v>1596</v>
      </c>
      <c r="F495" s="32" t="s">
        <v>201</v>
      </c>
      <c r="G495" s="30" t="s">
        <v>190</v>
      </c>
      <c r="H495" s="33">
        <v>46098.0</v>
      </c>
      <c r="I495" s="30">
        <v>1.8017127E7</v>
      </c>
      <c r="J495" s="30" t="s">
        <v>201</v>
      </c>
      <c r="K495" s="37" t="s">
        <v>202</v>
      </c>
      <c r="L495" s="35"/>
      <c r="M495" s="30">
        <v>3.0</v>
      </c>
      <c r="N495" s="30" t="s">
        <v>220</v>
      </c>
      <c r="O495" s="30" t="s">
        <v>194</v>
      </c>
      <c r="P495" s="30">
        <v>160.0</v>
      </c>
      <c r="Q495" s="30" t="s">
        <v>195</v>
      </c>
      <c r="R495" s="30" t="s">
        <v>196</v>
      </c>
      <c r="S495" s="30" t="s">
        <v>197</v>
      </c>
      <c r="T495" s="30" t="s">
        <v>1597</v>
      </c>
      <c r="U495" s="30">
        <v>2.0142998E7</v>
      </c>
    </row>
    <row r="496">
      <c r="A496" s="30">
        <v>51.574939</v>
      </c>
      <c r="B496" s="30">
        <v>25.215718</v>
      </c>
      <c r="C496" s="30" t="str">
        <f t="shared" si="1"/>
        <v>51.574939 25.215718</v>
      </c>
      <c r="D496" s="30">
        <v>91.0</v>
      </c>
      <c r="E496" s="39" t="s">
        <v>1598</v>
      </c>
      <c r="F496" s="40" t="s">
        <v>1599</v>
      </c>
      <c r="G496" s="41" t="s">
        <v>190</v>
      </c>
      <c r="H496" s="42">
        <v>46084.0</v>
      </c>
      <c r="I496" s="41">
        <v>1390614.0</v>
      </c>
      <c r="J496" s="30" t="s">
        <v>201</v>
      </c>
      <c r="K496" s="37" t="s">
        <v>202</v>
      </c>
      <c r="L496" s="41" t="s">
        <v>446</v>
      </c>
      <c r="M496" s="41">
        <v>2.0</v>
      </c>
      <c r="N496" s="30" t="s">
        <v>193</v>
      </c>
      <c r="O496" s="30" t="s">
        <v>194</v>
      </c>
      <c r="P496" s="30">
        <v>160.0</v>
      </c>
      <c r="Q496" s="30" t="s">
        <v>195</v>
      </c>
      <c r="R496" s="30" t="s">
        <v>196</v>
      </c>
      <c r="S496" s="30" t="s">
        <v>197</v>
      </c>
      <c r="T496" s="30" t="s">
        <v>1600</v>
      </c>
      <c r="U496" s="30">
        <v>2.0142999E7</v>
      </c>
    </row>
    <row r="497">
      <c r="A497" s="30">
        <v>51.571575</v>
      </c>
      <c r="B497" s="30">
        <v>25.216517</v>
      </c>
      <c r="C497" s="30" t="str">
        <f t="shared" si="1"/>
        <v>51.571575 25.216517</v>
      </c>
      <c r="D497" s="30">
        <v>50.0</v>
      </c>
      <c r="E497" s="36" t="s">
        <v>1601</v>
      </c>
      <c r="F497" s="30" t="s">
        <v>1602</v>
      </c>
      <c r="G497" s="30" t="s">
        <v>190</v>
      </c>
      <c r="H497" s="33">
        <v>46084.0</v>
      </c>
      <c r="I497" s="30">
        <v>1390613.0</v>
      </c>
      <c r="J497" s="30" t="s">
        <v>1577</v>
      </c>
      <c r="K497" s="37" t="s">
        <v>202</v>
      </c>
      <c r="L497" s="30" t="s">
        <v>221</v>
      </c>
      <c r="M497" s="30">
        <v>3.0</v>
      </c>
      <c r="N497" s="30" t="s">
        <v>216</v>
      </c>
      <c r="O497" s="30" t="s">
        <v>194</v>
      </c>
      <c r="P497" s="30">
        <v>160.0</v>
      </c>
      <c r="Q497" s="30" t="s">
        <v>221</v>
      </c>
      <c r="R497" s="30" t="s">
        <v>196</v>
      </c>
      <c r="S497" s="30" t="s">
        <v>197</v>
      </c>
      <c r="T497" s="30" t="s">
        <v>1603</v>
      </c>
      <c r="U497" s="30">
        <v>2.0143E7</v>
      </c>
    </row>
    <row r="498">
      <c r="A498" s="30">
        <v>51.572365</v>
      </c>
      <c r="B498" s="30">
        <v>25.216811</v>
      </c>
      <c r="C498" s="30" t="str">
        <f t="shared" si="1"/>
        <v>51.572365 25.216811</v>
      </c>
      <c r="D498" s="30">
        <v>50.0</v>
      </c>
      <c r="E498" s="36" t="s">
        <v>208</v>
      </c>
      <c r="F498" s="32" t="s">
        <v>1472</v>
      </c>
      <c r="G498" s="30" t="s">
        <v>190</v>
      </c>
      <c r="H498" s="33">
        <v>46084.0</v>
      </c>
      <c r="I498" s="30" t="s">
        <v>201</v>
      </c>
      <c r="J498" s="30" t="s">
        <v>1604</v>
      </c>
      <c r="K498" s="37" t="s">
        <v>296</v>
      </c>
      <c r="L498" s="30" t="s">
        <v>195</v>
      </c>
      <c r="M498" s="30">
        <v>3.0</v>
      </c>
      <c r="N498" s="30" t="s">
        <v>216</v>
      </c>
      <c r="O498" s="30" t="s">
        <v>194</v>
      </c>
      <c r="P498" s="30">
        <v>160.0</v>
      </c>
      <c r="Q498" s="30" t="s">
        <v>195</v>
      </c>
      <c r="R498" s="30" t="s">
        <v>196</v>
      </c>
      <c r="S498" s="30" t="s">
        <v>197</v>
      </c>
      <c r="T498" s="30" t="s">
        <v>1605</v>
      </c>
      <c r="U498" s="30">
        <v>2.0143001E7</v>
      </c>
    </row>
    <row r="499">
      <c r="A499" s="30">
        <v>51.57838</v>
      </c>
      <c r="B499" s="30">
        <v>25.219375</v>
      </c>
      <c r="C499" s="30" t="str">
        <f t="shared" si="1"/>
        <v>51.57838 25.219375</v>
      </c>
      <c r="D499" s="30">
        <v>50.0</v>
      </c>
      <c r="E499" s="39" t="s">
        <v>1606</v>
      </c>
      <c r="F499" s="40" t="s">
        <v>1606</v>
      </c>
      <c r="G499" s="41" t="s">
        <v>190</v>
      </c>
      <c r="H499" s="42">
        <v>46056.0</v>
      </c>
      <c r="I499" s="41">
        <v>1390615.0</v>
      </c>
      <c r="J499" s="41" t="s">
        <v>1607</v>
      </c>
      <c r="K499" s="37" t="s">
        <v>202</v>
      </c>
      <c r="L499" s="41" t="s">
        <v>446</v>
      </c>
      <c r="M499" s="41">
        <v>2.0</v>
      </c>
      <c r="N499" s="30" t="s">
        <v>220</v>
      </c>
      <c r="O499" s="30" t="s">
        <v>194</v>
      </c>
      <c r="P499" s="30">
        <v>160.0</v>
      </c>
      <c r="Q499" s="30" t="s">
        <v>446</v>
      </c>
      <c r="R499" s="30" t="s">
        <v>196</v>
      </c>
      <c r="S499" s="30" t="s">
        <v>197</v>
      </c>
      <c r="T499" s="30" t="s">
        <v>1608</v>
      </c>
      <c r="U499" s="30">
        <v>2.0143002E7</v>
      </c>
    </row>
    <row r="500">
      <c r="A500" s="30">
        <v>51.577372</v>
      </c>
      <c r="B500" s="30">
        <v>25.21881</v>
      </c>
      <c r="C500" s="30" t="str">
        <f t="shared" si="1"/>
        <v>51.577372 25.21881</v>
      </c>
      <c r="D500" s="30">
        <v>50.0</v>
      </c>
      <c r="E500" s="39" t="s">
        <v>367</v>
      </c>
      <c r="F500" s="32" t="s">
        <v>1609</v>
      </c>
      <c r="G500" s="30" t="s">
        <v>190</v>
      </c>
      <c r="H500" s="33">
        <v>46056.0</v>
      </c>
      <c r="I500" s="41" t="s">
        <v>201</v>
      </c>
      <c r="J500" s="30" t="s">
        <v>1610</v>
      </c>
      <c r="K500" s="37" t="s">
        <v>202</v>
      </c>
      <c r="L500" s="41" t="s">
        <v>446</v>
      </c>
      <c r="M500" s="41">
        <v>2.0</v>
      </c>
      <c r="N500" s="30" t="s">
        <v>220</v>
      </c>
      <c r="O500" s="30" t="s">
        <v>194</v>
      </c>
      <c r="P500" s="30">
        <v>160.0</v>
      </c>
      <c r="Q500" s="30" t="s">
        <v>446</v>
      </c>
      <c r="R500" s="30" t="s">
        <v>196</v>
      </c>
      <c r="S500" s="30" t="s">
        <v>197</v>
      </c>
      <c r="T500" s="30" t="s">
        <v>1611</v>
      </c>
      <c r="U500" s="30">
        <v>2.0143003E7</v>
      </c>
    </row>
    <row r="501">
      <c r="A501" s="30">
        <v>51.579097</v>
      </c>
      <c r="B501" s="30">
        <v>25.22441</v>
      </c>
      <c r="C501" s="30" t="str">
        <f t="shared" si="1"/>
        <v>51.579097 25.22441</v>
      </c>
      <c r="D501" s="30">
        <v>50.0</v>
      </c>
      <c r="E501" s="39" t="s">
        <v>1612</v>
      </c>
      <c r="F501" s="40" t="s">
        <v>1613</v>
      </c>
      <c r="G501" s="41" t="s">
        <v>190</v>
      </c>
      <c r="H501" s="42">
        <v>46056.0</v>
      </c>
      <c r="I501" s="41">
        <v>1390624.0</v>
      </c>
      <c r="J501" s="41" t="s">
        <v>1614</v>
      </c>
      <c r="K501" s="37" t="s">
        <v>202</v>
      </c>
      <c r="L501" s="41" t="s">
        <v>451</v>
      </c>
      <c r="M501" s="41">
        <v>2.0</v>
      </c>
      <c r="N501" s="30" t="s">
        <v>220</v>
      </c>
      <c r="O501" s="30" t="s">
        <v>194</v>
      </c>
      <c r="P501" s="30">
        <v>160.0</v>
      </c>
      <c r="Q501" s="30" t="s">
        <v>451</v>
      </c>
      <c r="R501" s="30" t="s">
        <v>196</v>
      </c>
      <c r="S501" s="30" t="s">
        <v>197</v>
      </c>
      <c r="T501" s="30" t="s">
        <v>1615</v>
      </c>
      <c r="U501" s="30">
        <v>2.0143004E7</v>
      </c>
    </row>
    <row r="502">
      <c r="A502" s="30">
        <v>51.581313</v>
      </c>
      <c r="B502" s="30">
        <v>25.223311</v>
      </c>
      <c r="C502" s="30" t="str">
        <f t="shared" si="1"/>
        <v>51.581313 25.223311</v>
      </c>
      <c r="D502" s="30">
        <v>49.0</v>
      </c>
      <c r="E502" s="39" t="s">
        <v>542</v>
      </c>
      <c r="F502" s="40" t="s">
        <v>1616</v>
      </c>
      <c r="G502" s="41" t="s">
        <v>190</v>
      </c>
      <c r="H502" s="42">
        <v>46056.0</v>
      </c>
      <c r="I502" s="41">
        <v>1390625.0</v>
      </c>
      <c r="J502" s="40" t="s">
        <v>1617</v>
      </c>
      <c r="K502" s="37" t="s">
        <v>202</v>
      </c>
      <c r="L502" s="41" t="s">
        <v>221</v>
      </c>
      <c r="M502" s="41">
        <v>3.0</v>
      </c>
      <c r="N502" s="30" t="s">
        <v>220</v>
      </c>
      <c r="O502" s="30" t="s">
        <v>194</v>
      </c>
      <c r="P502" s="30">
        <v>160.0</v>
      </c>
      <c r="Q502" s="30" t="s">
        <v>195</v>
      </c>
      <c r="R502" s="30" t="s">
        <v>196</v>
      </c>
      <c r="S502" s="30" t="s">
        <v>197</v>
      </c>
      <c r="T502" s="30" t="s">
        <v>1618</v>
      </c>
      <c r="U502" s="30">
        <v>2.0143005E7</v>
      </c>
    </row>
    <row r="503">
      <c r="A503" s="30">
        <v>51.581237</v>
      </c>
      <c r="B503" s="30">
        <v>25.220276</v>
      </c>
      <c r="C503" s="30" t="str">
        <f t="shared" si="1"/>
        <v>51.581237 25.220276</v>
      </c>
      <c r="D503" s="30">
        <v>50.0</v>
      </c>
      <c r="E503" s="39" t="s">
        <v>526</v>
      </c>
      <c r="F503" s="32" t="s">
        <v>1619</v>
      </c>
      <c r="G503" s="30" t="s">
        <v>190</v>
      </c>
      <c r="H503" s="33">
        <v>46056.0</v>
      </c>
      <c r="I503" s="30">
        <v>1390616.0</v>
      </c>
      <c r="J503" s="30" t="s">
        <v>1620</v>
      </c>
      <c r="K503" s="37" t="s">
        <v>202</v>
      </c>
      <c r="L503" s="30" t="s">
        <v>195</v>
      </c>
      <c r="M503" s="30">
        <v>2.0</v>
      </c>
      <c r="N503" s="30" t="s">
        <v>220</v>
      </c>
      <c r="O503" s="30" t="s">
        <v>194</v>
      </c>
      <c r="P503" s="30">
        <v>160.0</v>
      </c>
      <c r="Q503" s="30" t="s">
        <v>195</v>
      </c>
      <c r="R503" s="30" t="s">
        <v>196</v>
      </c>
      <c r="S503" s="30" t="s">
        <v>197</v>
      </c>
      <c r="T503" s="30" t="s">
        <v>1621</v>
      </c>
      <c r="U503" s="30">
        <v>2.0143006E7</v>
      </c>
    </row>
    <row r="504">
      <c r="A504" s="30">
        <v>51.581787</v>
      </c>
      <c r="B504" s="30">
        <v>25.219045</v>
      </c>
      <c r="C504" s="30" t="str">
        <f t="shared" si="1"/>
        <v>51.581787 25.219045</v>
      </c>
      <c r="D504" s="30">
        <v>50.0</v>
      </c>
      <c r="E504" s="39" t="s">
        <v>499</v>
      </c>
      <c r="F504" s="32" t="s">
        <v>1622</v>
      </c>
      <c r="G504" s="30" t="s">
        <v>190</v>
      </c>
      <c r="H504" s="33">
        <v>46056.0</v>
      </c>
      <c r="I504" s="30">
        <v>1390617.0</v>
      </c>
      <c r="J504" s="30" t="s">
        <v>1623</v>
      </c>
      <c r="K504" s="37" t="s">
        <v>202</v>
      </c>
      <c r="L504" s="30" t="s">
        <v>195</v>
      </c>
      <c r="M504" s="30">
        <v>2.0</v>
      </c>
      <c r="N504" s="30" t="s">
        <v>220</v>
      </c>
      <c r="O504" s="30" t="s">
        <v>194</v>
      </c>
      <c r="P504" s="30">
        <v>160.0</v>
      </c>
      <c r="Q504" s="30" t="s">
        <v>195</v>
      </c>
      <c r="R504" s="30" t="s">
        <v>196</v>
      </c>
      <c r="S504" s="30" t="s">
        <v>197</v>
      </c>
      <c r="T504" s="30" t="s">
        <v>1624</v>
      </c>
      <c r="U504" s="30">
        <v>2.0143007E7</v>
      </c>
    </row>
    <row r="505">
      <c r="A505" s="30">
        <v>51.584656</v>
      </c>
      <c r="B505" s="30">
        <v>25.217009</v>
      </c>
      <c r="C505" s="30" t="str">
        <f t="shared" si="1"/>
        <v>51.584656 25.217009</v>
      </c>
      <c r="D505" s="30">
        <v>49.0</v>
      </c>
      <c r="E505" s="36" t="s">
        <v>1625</v>
      </c>
      <c r="F505" s="32" t="s">
        <v>1626</v>
      </c>
      <c r="G505" s="30" t="s">
        <v>190</v>
      </c>
      <c r="H505" s="33">
        <v>46090.0</v>
      </c>
      <c r="I505" s="30">
        <v>1390623.0</v>
      </c>
      <c r="J505" s="30" t="s">
        <v>201</v>
      </c>
      <c r="K505" s="43" t="s">
        <v>202</v>
      </c>
      <c r="L505" s="30" t="s">
        <v>195</v>
      </c>
      <c r="M505" s="30">
        <v>3.0</v>
      </c>
      <c r="N505" s="30" t="s">
        <v>220</v>
      </c>
      <c r="O505" s="30" t="s">
        <v>194</v>
      </c>
      <c r="P505" s="30">
        <v>160.0</v>
      </c>
      <c r="Q505" s="30" t="s">
        <v>195</v>
      </c>
      <c r="R505" s="30" t="s">
        <v>196</v>
      </c>
      <c r="S505" s="30" t="s">
        <v>197</v>
      </c>
      <c r="T505" s="30" t="s">
        <v>1627</v>
      </c>
      <c r="U505" s="30">
        <v>2.0143008E7</v>
      </c>
    </row>
    <row r="506">
      <c r="A506" s="30">
        <v>51.583983</v>
      </c>
      <c r="B506" s="30">
        <v>25.214643</v>
      </c>
      <c r="C506" s="30" t="str">
        <f t="shared" si="1"/>
        <v>51.583983 25.214643</v>
      </c>
      <c r="D506" s="30">
        <v>91.0</v>
      </c>
      <c r="E506" s="36" t="s">
        <v>503</v>
      </c>
      <c r="F506" s="32" t="s">
        <v>1628</v>
      </c>
      <c r="G506" s="30" t="s">
        <v>190</v>
      </c>
      <c r="H506" s="33">
        <v>46100.0</v>
      </c>
      <c r="I506" s="30">
        <v>1391225.0</v>
      </c>
      <c r="J506" s="30" t="s">
        <v>1629</v>
      </c>
      <c r="K506" s="43" t="s">
        <v>202</v>
      </c>
      <c r="L506" s="35"/>
      <c r="M506" s="30">
        <v>3.0</v>
      </c>
      <c r="N506" s="30" t="s">
        <v>216</v>
      </c>
      <c r="O506" s="30" t="s">
        <v>194</v>
      </c>
      <c r="P506" s="30">
        <v>160.0</v>
      </c>
      <c r="Q506" s="30" t="s">
        <v>195</v>
      </c>
      <c r="R506" s="30" t="s">
        <v>196</v>
      </c>
      <c r="S506" s="30" t="s">
        <v>197</v>
      </c>
      <c r="T506" s="30" t="s">
        <v>1630</v>
      </c>
      <c r="U506" s="30">
        <v>2.0143009E7</v>
      </c>
    </row>
    <row r="507">
      <c r="A507" s="30">
        <v>51.586011</v>
      </c>
      <c r="B507" s="30">
        <v>25.213862</v>
      </c>
      <c r="C507" s="30" t="str">
        <f t="shared" si="1"/>
        <v>51.586011 25.213862</v>
      </c>
      <c r="D507" s="30">
        <v>49.0</v>
      </c>
      <c r="E507" s="36" t="s">
        <v>1631</v>
      </c>
      <c r="F507" s="32" t="s">
        <v>1632</v>
      </c>
      <c r="G507" s="30" t="s">
        <v>190</v>
      </c>
      <c r="H507" s="33">
        <v>46090.0</v>
      </c>
      <c r="I507" s="30">
        <v>140663.0</v>
      </c>
      <c r="J507" s="30" t="s">
        <v>201</v>
      </c>
      <c r="K507" s="43" t="s">
        <v>202</v>
      </c>
      <c r="L507" s="30" t="s">
        <v>195</v>
      </c>
      <c r="M507" s="30">
        <v>3.0</v>
      </c>
      <c r="N507" s="30" t="s">
        <v>220</v>
      </c>
      <c r="O507" s="30" t="s">
        <v>194</v>
      </c>
      <c r="P507" s="30">
        <v>160.0</v>
      </c>
      <c r="Q507" s="30" t="s">
        <v>195</v>
      </c>
      <c r="R507" s="30" t="s">
        <v>196</v>
      </c>
      <c r="S507" s="30" t="s">
        <v>197</v>
      </c>
      <c r="T507" s="30" t="s">
        <v>1633</v>
      </c>
      <c r="U507" s="30">
        <v>2.014301E7</v>
      </c>
    </row>
    <row r="508">
      <c r="A508" s="30">
        <v>51.58857</v>
      </c>
      <c r="B508" s="30">
        <v>25.20865</v>
      </c>
      <c r="C508" s="30" t="str">
        <f t="shared" si="1"/>
        <v>51.58857 25.20865</v>
      </c>
      <c r="D508" s="30">
        <v>49.0</v>
      </c>
      <c r="E508" s="36" t="s">
        <v>1634</v>
      </c>
      <c r="F508" s="40" t="s">
        <v>201</v>
      </c>
      <c r="G508" s="30" t="s">
        <v>303</v>
      </c>
      <c r="H508" s="33">
        <v>46090.0</v>
      </c>
      <c r="I508" s="30">
        <v>1390620.0</v>
      </c>
      <c r="J508" s="30" t="s">
        <v>1635</v>
      </c>
      <c r="K508" s="43" t="s">
        <v>202</v>
      </c>
      <c r="L508" s="30" t="s">
        <v>201</v>
      </c>
      <c r="M508" s="30">
        <v>4.0</v>
      </c>
      <c r="N508" s="30" t="s">
        <v>220</v>
      </c>
      <c r="O508" s="30" t="s">
        <v>194</v>
      </c>
      <c r="P508" s="30">
        <v>160.0</v>
      </c>
      <c r="Q508" s="30" t="s">
        <v>195</v>
      </c>
      <c r="R508" s="30" t="s">
        <v>196</v>
      </c>
      <c r="S508" s="30" t="s">
        <v>197</v>
      </c>
      <c r="T508" s="30" t="s">
        <v>1636</v>
      </c>
      <c r="U508" s="30">
        <v>2.0143011E7</v>
      </c>
    </row>
    <row r="509">
      <c r="A509" s="30">
        <v>51.588372</v>
      </c>
      <c r="B509" s="30">
        <v>25.207148</v>
      </c>
      <c r="C509" s="30" t="str">
        <f t="shared" si="1"/>
        <v>51.588372 25.207148</v>
      </c>
      <c r="D509" s="30">
        <v>91.0</v>
      </c>
      <c r="E509" s="39" t="s">
        <v>244</v>
      </c>
      <c r="F509" s="32" t="s">
        <v>1637</v>
      </c>
      <c r="G509" s="30" t="s">
        <v>190</v>
      </c>
      <c r="H509" s="33">
        <v>46086.0</v>
      </c>
      <c r="I509" s="30">
        <v>1390619.0</v>
      </c>
      <c r="J509" s="30" t="s">
        <v>1638</v>
      </c>
      <c r="K509" s="37" t="s">
        <v>202</v>
      </c>
      <c r="L509" s="30" t="s">
        <v>195</v>
      </c>
      <c r="M509" s="30">
        <v>2.0</v>
      </c>
      <c r="N509" s="30" t="s">
        <v>220</v>
      </c>
      <c r="O509" s="30" t="s">
        <v>194</v>
      </c>
      <c r="P509" s="30">
        <v>160.0</v>
      </c>
      <c r="Q509" s="30" t="s">
        <v>195</v>
      </c>
      <c r="R509" s="30" t="s">
        <v>196</v>
      </c>
      <c r="S509" s="30" t="s">
        <v>197</v>
      </c>
      <c r="T509" s="30" t="s">
        <v>1639</v>
      </c>
      <c r="U509" s="30">
        <v>2.0143012E7</v>
      </c>
    </row>
    <row r="510">
      <c r="A510" s="30">
        <v>51.589916</v>
      </c>
      <c r="B510" s="30">
        <v>25.2056</v>
      </c>
      <c r="C510" s="30" t="str">
        <f t="shared" si="1"/>
        <v>51.589916 25.2056</v>
      </c>
      <c r="D510" s="30">
        <v>49.0</v>
      </c>
      <c r="E510" s="36" t="s">
        <v>1640</v>
      </c>
      <c r="F510" s="32" t="s">
        <v>1390</v>
      </c>
      <c r="G510" s="30" t="s">
        <v>190</v>
      </c>
      <c r="H510" s="33">
        <v>46090.0</v>
      </c>
      <c r="I510" s="30">
        <v>1390618.0</v>
      </c>
      <c r="J510" s="30" t="s">
        <v>1641</v>
      </c>
      <c r="K510" s="43" t="s">
        <v>202</v>
      </c>
      <c r="L510" s="30" t="s">
        <v>221</v>
      </c>
      <c r="M510" s="30">
        <v>2.0</v>
      </c>
      <c r="N510" s="30" t="s">
        <v>220</v>
      </c>
      <c r="O510" s="30" t="s">
        <v>194</v>
      </c>
      <c r="P510" s="30">
        <v>160.0</v>
      </c>
      <c r="Q510" s="30" t="s">
        <v>221</v>
      </c>
      <c r="R510" s="30" t="s">
        <v>196</v>
      </c>
      <c r="S510" s="30" t="s">
        <v>197</v>
      </c>
      <c r="T510" s="30" t="s">
        <v>1642</v>
      </c>
      <c r="U510" s="30">
        <v>2.0143013E7</v>
      </c>
    </row>
    <row r="511">
      <c r="A511" s="30">
        <v>51.591867</v>
      </c>
      <c r="B511" s="30">
        <v>25.201899</v>
      </c>
      <c r="C511" s="30" t="str">
        <f t="shared" si="1"/>
        <v>51.591867 25.201899</v>
      </c>
      <c r="D511" s="34">
        <v>49.0</v>
      </c>
      <c r="E511" s="53" t="s">
        <v>1390</v>
      </c>
      <c r="F511" s="54" t="s">
        <v>1643</v>
      </c>
      <c r="G511" s="34" t="s">
        <v>190</v>
      </c>
      <c r="H511" s="55">
        <v>46090.0</v>
      </c>
      <c r="I511" s="34" t="s">
        <v>201</v>
      </c>
      <c r="J511" s="34" t="s">
        <v>1644</v>
      </c>
      <c r="K511" s="43" t="s">
        <v>202</v>
      </c>
      <c r="L511" s="34" t="s">
        <v>195</v>
      </c>
      <c r="M511" s="34">
        <v>3.0</v>
      </c>
      <c r="N511" s="34" t="s">
        <v>220</v>
      </c>
      <c r="O511" s="30" t="s">
        <v>194</v>
      </c>
      <c r="P511" s="30">
        <v>160.0</v>
      </c>
      <c r="Q511" s="30" t="s">
        <v>195</v>
      </c>
      <c r="R511" s="30" t="s">
        <v>196</v>
      </c>
      <c r="S511" s="30" t="s">
        <v>197</v>
      </c>
      <c r="T511" s="30" t="s">
        <v>1645</v>
      </c>
      <c r="U511" s="30">
        <v>2.0143014E7</v>
      </c>
    </row>
    <row r="512">
      <c r="A512" s="30">
        <v>51.586002</v>
      </c>
      <c r="B512" s="30">
        <v>25.219816</v>
      </c>
      <c r="C512" s="30" t="str">
        <f t="shared" si="1"/>
        <v>51.586002 25.219816</v>
      </c>
      <c r="D512" s="30">
        <v>49.0</v>
      </c>
      <c r="E512" s="36" t="s">
        <v>1646</v>
      </c>
      <c r="F512" s="40" t="s">
        <v>201</v>
      </c>
      <c r="G512" s="30" t="s">
        <v>190</v>
      </c>
      <c r="H512" s="33">
        <v>46090.0</v>
      </c>
      <c r="I512" s="30">
        <v>1391226.0</v>
      </c>
      <c r="J512" s="30" t="s">
        <v>201</v>
      </c>
      <c r="K512" s="43" t="s">
        <v>202</v>
      </c>
      <c r="L512" s="30" t="s">
        <v>221</v>
      </c>
      <c r="M512" s="30">
        <v>3.0</v>
      </c>
      <c r="N512" s="30" t="s">
        <v>220</v>
      </c>
      <c r="O512" s="30" t="s">
        <v>194</v>
      </c>
      <c r="P512" s="30">
        <v>160.0</v>
      </c>
      <c r="Q512" s="30" t="s">
        <v>221</v>
      </c>
      <c r="R512" s="30" t="s">
        <v>196</v>
      </c>
      <c r="S512" s="30" t="s">
        <v>197</v>
      </c>
      <c r="T512" s="30" t="s">
        <v>1647</v>
      </c>
      <c r="U512" s="30">
        <v>2.0143015E7</v>
      </c>
    </row>
    <row r="513">
      <c r="A513" s="30">
        <v>51.586809</v>
      </c>
      <c r="B513" s="30">
        <v>25.220628</v>
      </c>
      <c r="C513" s="30" t="str">
        <f t="shared" si="1"/>
        <v>51.586809 25.220628</v>
      </c>
      <c r="D513" s="30">
        <v>49.0</v>
      </c>
      <c r="E513" s="36" t="s">
        <v>282</v>
      </c>
      <c r="F513" s="32" t="s">
        <v>1648</v>
      </c>
      <c r="G513" s="30" t="s">
        <v>190</v>
      </c>
      <c r="H513" s="33">
        <v>46090.0</v>
      </c>
      <c r="I513" s="30">
        <v>1390626.0</v>
      </c>
      <c r="J513" s="30" t="s">
        <v>1649</v>
      </c>
      <c r="K513" s="43" t="s">
        <v>202</v>
      </c>
      <c r="L513" s="30" t="s">
        <v>195</v>
      </c>
      <c r="M513" s="30">
        <v>3.0</v>
      </c>
      <c r="N513" s="30" t="s">
        <v>220</v>
      </c>
      <c r="O513" s="30" t="s">
        <v>194</v>
      </c>
      <c r="P513" s="30">
        <v>160.0</v>
      </c>
      <c r="Q513" s="30" t="s">
        <v>195</v>
      </c>
      <c r="R513" s="30" t="s">
        <v>196</v>
      </c>
      <c r="S513" s="30" t="s">
        <v>197</v>
      </c>
      <c r="T513" s="30" t="s">
        <v>1650</v>
      </c>
      <c r="U513" s="30">
        <v>2.0143016E7</v>
      </c>
    </row>
    <row r="514">
      <c r="A514" s="30">
        <v>51.58999</v>
      </c>
      <c r="B514" s="30">
        <v>25.22406</v>
      </c>
      <c r="C514" s="30" t="str">
        <f t="shared" si="1"/>
        <v>51.58999 25.22406</v>
      </c>
      <c r="D514" s="30">
        <v>49.0</v>
      </c>
      <c r="E514" s="36" t="s">
        <v>1651</v>
      </c>
      <c r="F514" s="32" t="s">
        <v>1652</v>
      </c>
      <c r="G514" s="30" t="s">
        <v>190</v>
      </c>
      <c r="H514" s="33">
        <v>46090.0</v>
      </c>
      <c r="I514" s="30">
        <v>1390628.0</v>
      </c>
      <c r="J514" s="30" t="s">
        <v>1653</v>
      </c>
      <c r="K514" s="37" t="s">
        <v>202</v>
      </c>
      <c r="L514" s="30" t="s">
        <v>221</v>
      </c>
      <c r="M514" s="30">
        <v>3.0</v>
      </c>
      <c r="N514" s="30" t="s">
        <v>220</v>
      </c>
      <c r="O514" s="30" t="s">
        <v>194</v>
      </c>
      <c r="P514" s="30">
        <v>160.0</v>
      </c>
      <c r="Q514" s="30" t="s">
        <v>195</v>
      </c>
      <c r="R514" s="30" t="s">
        <v>196</v>
      </c>
      <c r="S514" s="30" t="s">
        <v>197</v>
      </c>
      <c r="T514" s="30" t="s">
        <v>1654</v>
      </c>
      <c r="U514" s="30">
        <v>2.0143017E7</v>
      </c>
    </row>
    <row r="515">
      <c r="A515" s="30">
        <v>51.589182</v>
      </c>
      <c r="B515" s="30">
        <v>25.223184</v>
      </c>
      <c r="C515" s="30" t="str">
        <f t="shared" si="1"/>
        <v>51.589182 25.223184</v>
      </c>
      <c r="D515" s="30">
        <v>49.0</v>
      </c>
      <c r="E515" s="36" t="s">
        <v>1655</v>
      </c>
      <c r="F515" s="32" t="s">
        <v>1656</v>
      </c>
      <c r="G515" s="30" t="s">
        <v>190</v>
      </c>
      <c r="H515" s="33">
        <v>46090.0</v>
      </c>
      <c r="I515" s="30" t="s">
        <v>201</v>
      </c>
      <c r="J515" s="30" t="s">
        <v>201</v>
      </c>
      <c r="K515" s="43" t="s">
        <v>202</v>
      </c>
      <c r="L515" s="30" t="s">
        <v>195</v>
      </c>
      <c r="M515" s="30">
        <v>3.0</v>
      </c>
      <c r="N515" s="30" t="s">
        <v>220</v>
      </c>
      <c r="O515" s="30" t="s">
        <v>194</v>
      </c>
      <c r="P515" s="30">
        <v>160.0</v>
      </c>
      <c r="Q515" s="30" t="s">
        <v>195</v>
      </c>
      <c r="R515" s="30" t="s">
        <v>196</v>
      </c>
      <c r="S515" s="30" t="s">
        <v>197</v>
      </c>
      <c r="T515" s="30" t="s">
        <v>1657</v>
      </c>
      <c r="U515" s="30">
        <v>2.0143018E7</v>
      </c>
    </row>
    <row r="516">
      <c r="A516" s="64">
        <v>51.588985</v>
      </c>
      <c r="B516" s="64">
        <v>25.225183</v>
      </c>
      <c r="C516" s="30" t="str">
        <f t="shared" si="1"/>
        <v>51.588985 25.225183</v>
      </c>
      <c r="D516" s="64">
        <v>49.0</v>
      </c>
      <c r="E516" s="65"/>
      <c r="F516" s="66"/>
      <c r="G516" s="45" t="s">
        <v>303</v>
      </c>
      <c r="H516" s="67">
        <v>46107.0</v>
      </c>
      <c r="I516" s="68"/>
      <c r="J516" s="64" t="s">
        <v>1658</v>
      </c>
      <c r="K516" s="69"/>
      <c r="L516" s="35"/>
      <c r="M516" s="64">
        <v>0.0</v>
      </c>
      <c r="N516" s="70" t="s">
        <v>356</v>
      </c>
      <c r="O516" s="64" t="s">
        <v>194</v>
      </c>
      <c r="P516" s="64" t="s">
        <v>201</v>
      </c>
      <c r="Q516" s="64" t="s">
        <v>201</v>
      </c>
      <c r="R516" s="64" t="s">
        <v>201</v>
      </c>
      <c r="S516" s="64" t="s">
        <v>201</v>
      </c>
      <c r="T516" s="64" t="s">
        <v>1659</v>
      </c>
      <c r="U516" s="64">
        <v>2.0143019E7</v>
      </c>
    </row>
    <row r="517">
      <c r="A517" s="30">
        <v>51.589967</v>
      </c>
      <c r="B517" s="30">
        <v>25.226438</v>
      </c>
      <c r="C517" s="30" t="str">
        <f t="shared" si="1"/>
        <v>51.589967 25.226438</v>
      </c>
      <c r="D517" s="30">
        <v>49.0</v>
      </c>
      <c r="E517" s="39" t="s">
        <v>284</v>
      </c>
      <c r="F517" s="40" t="s">
        <v>1660</v>
      </c>
      <c r="G517" s="30" t="s">
        <v>190</v>
      </c>
      <c r="H517" s="42">
        <v>46083.0</v>
      </c>
      <c r="I517" s="41" t="s">
        <v>201</v>
      </c>
      <c r="J517" s="41" t="s">
        <v>1661</v>
      </c>
      <c r="K517" s="37" t="s">
        <v>202</v>
      </c>
      <c r="L517" s="41" t="s">
        <v>221</v>
      </c>
      <c r="M517" s="41">
        <v>2.0</v>
      </c>
      <c r="N517" s="30" t="s">
        <v>220</v>
      </c>
      <c r="O517" s="30" t="s">
        <v>194</v>
      </c>
      <c r="P517" s="30">
        <v>160.0</v>
      </c>
      <c r="Q517" s="30" t="s">
        <v>195</v>
      </c>
      <c r="R517" s="30" t="s">
        <v>196</v>
      </c>
      <c r="S517" s="30" t="s">
        <v>197</v>
      </c>
      <c r="T517" s="30" t="s">
        <v>1662</v>
      </c>
      <c r="U517" s="30">
        <v>2.014302E7</v>
      </c>
    </row>
    <row r="518">
      <c r="A518" s="30">
        <v>51.592181</v>
      </c>
      <c r="B518" s="30">
        <v>25.227221</v>
      </c>
      <c r="C518" s="30" t="str">
        <f t="shared" si="1"/>
        <v>51.592181 25.227221</v>
      </c>
      <c r="D518" s="30">
        <v>49.0</v>
      </c>
      <c r="E518" s="36" t="s">
        <v>1663</v>
      </c>
      <c r="F518" s="32" t="s">
        <v>1664</v>
      </c>
      <c r="G518" s="30" t="s">
        <v>190</v>
      </c>
      <c r="H518" s="33">
        <v>46090.0</v>
      </c>
      <c r="I518" s="30">
        <v>1390659.0</v>
      </c>
      <c r="J518" s="30" t="s">
        <v>201</v>
      </c>
      <c r="K518" s="37" t="s">
        <v>202</v>
      </c>
      <c r="L518" s="30" t="s">
        <v>195</v>
      </c>
      <c r="M518" s="30">
        <v>2.0</v>
      </c>
      <c r="N518" s="30" t="s">
        <v>220</v>
      </c>
      <c r="O518" s="30" t="s">
        <v>194</v>
      </c>
      <c r="P518" s="30">
        <v>160.0</v>
      </c>
      <c r="Q518" s="30" t="s">
        <v>195</v>
      </c>
      <c r="R518" s="30" t="s">
        <v>196</v>
      </c>
      <c r="S518" s="30" t="s">
        <v>197</v>
      </c>
      <c r="T518" s="30" t="s">
        <v>1665</v>
      </c>
      <c r="U518" s="30">
        <v>2.0143021E7</v>
      </c>
    </row>
    <row r="519">
      <c r="A519" s="30">
        <v>51.501053</v>
      </c>
      <c r="B519" s="30">
        <v>25.181553</v>
      </c>
      <c r="C519" s="30" t="str">
        <f t="shared" si="1"/>
        <v>51.501053 25.181553</v>
      </c>
      <c r="D519" s="30">
        <v>56.0</v>
      </c>
      <c r="E519" s="36" t="s">
        <v>440</v>
      </c>
      <c r="F519" s="32" t="s">
        <v>1666</v>
      </c>
      <c r="G519" s="30" t="s">
        <v>190</v>
      </c>
      <c r="H519" s="33">
        <v>46090.0</v>
      </c>
      <c r="I519" s="30" t="s">
        <v>201</v>
      </c>
      <c r="J519" s="30" t="s">
        <v>201</v>
      </c>
      <c r="K519" s="37" t="s">
        <v>202</v>
      </c>
      <c r="L519" s="30" t="s">
        <v>195</v>
      </c>
      <c r="M519" s="30">
        <v>2.0</v>
      </c>
      <c r="N519" s="30" t="s">
        <v>216</v>
      </c>
      <c r="O519" s="30" t="s">
        <v>194</v>
      </c>
      <c r="P519" s="30">
        <v>160.0</v>
      </c>
      <c r="Q519" s="30" t="s">
        <v>195</v>
      </c>
      <c r="R519" s="30" t="s">
        <v>196</v>
      </c>
      <c r="S519" s="30" t="s">
        <v>197</v>
      </c>
      <c r="T519" s="30" t="s">
        <v>1667</v>
      </c>
      <c r="U519" s="30">
        <v>2.0143022E7</v>
      </c>
    </row>
    <row r="520">
      <c r="A520" s="30">
        <v>51.504738</v>
      </c>
      <c r="B520" s="30">
        <v>25.184839</v>
      </c>
      <c r="C520" s="30" t="str">
        <f t="shared" si="1"/>
        <v>51.504738 25.184839</v>
      </c>
      <c r="D520" s="30">
        <v>56.0</v>
      </c>
      <c r="E520" s="36" t="s">
        <v>454</v>
      </c>
      <c r="F520" s="32" t="s">
        <v>1668</v>
      </c>
      <c r="G520" s="30" t="s">
        <v>190</v>
      </c>
      <c r="H520" s="33">
        <v>46086.0</v>
      </c>
      <c r="I520" s="30">
        <v>1391046.0</v>
      </c>
      <c r="J520" s="30" t="s">
        <v>210</v>
      </c>
      <c r="K520" s="34" t="s">
        <v>291</v>
      </c>
      <c r="L520" s="30" t="s">
        <v>195</v>
      </c>
      <c r="M520" s="30">
        <v>2.0</v>
      </c>
      <c r="N520" s="30" t="s">
        <v>216</v>
      </c>
      <c r="O520" s="30" t="s">
        <v>194</v>
      </c>
      <c r="P520" s="30">
        <v>160.0</v>
      </c>
      <c r="Q520" s="30" t="s">
        <v>221</v>
      </c>
      <c r="R520" s="30" t="s">
        <v>222</v>
      </c>
      <c r="S520" s="30" t="s">
        <v>197</v>
      </c>
      <c r="T520" s="30" t="s">
        <v>1669</v>
      </c>
      <c r="U520" s="30">
        <v>2.0143023E7</v>
      </c>
    </row>
    <row r="521">
      <c r="A521" s="30">
        <v>51.506146</v>
      </c>
      <c r="B521" s="30">
        <v>25.183543</v>
      </c>
      <c r="C521" s="30" t="str">
        <f t="shared" si="1"/>
        <v>51.506146 25.183543</v>
      </c>
      <c r="D521" s="30">
        <v>91.0</v>
      </c>
      <c r="E521" s="36" t="s">
        <v>260</v>
      </c>
      <c r="F521" s="32" t="s">
        <v>1670</v>
      </c>
      <c r="G521" s="30" t="s">
        <v>190</v>
      </c>
      <c r="H521" s="33">
        <v>46088.0</v>
      </c>
      <c r="I521" s="30">
        <v>1391043.0</v>
      </c>
      <c r="J521" s="41" t="s">
        <v>210</v>
      </c>
      <c r="K521" s="34" t="s">
        <v>291</v>
      </c>
      <c r="L521" s="30" t="s">
        <v>195</v>
      </c>
      <c r="M521" s="30">
        <v>3.0</v>
      </c>
      <c r="N521" s="30" t="s">
        <v>193</v>
      </c>
      <c r="O521" s="30" t="s">
        <v>194</v>
      </c>
      <c r="P521" s="30">
        <v>160.0</v>
      </c>
      <c r="Q521" s="30" t="s">
        <v>195</v>
      </c>
      <c r="R521" s="30" t="s">
        <v>196</v>
      </c>
      <c r="S521" s="30" t="s">
        <v>197</v>
      </c>
      <c r="T521" s="30" t="s">
        <v>1671</v>
      </c>
      <c r="U521" s="30">
        <v>2.0143024E7</v>
      </c>
    </row>
    <row r="522">
      <c r="A522" s="30">
        <v>51.508159</v>
      </c>
      <c r="B522" s="30">
        <v>25.189701</v>
      </c>
      <c r="C522" s="30" t="str">
        <f t="shared" si="1"/>
        <v>51.508159 25.189701</v>
      </c>
      <c r="D522" s="30">
        <v>56.0</v>
      </c>
      <c r="E522" s="36" t="s">
        <v>479</v>
      </c>
      <c r="F522" s="32" t="s">
        <v>1672</v>
      </c>
      <c r="G522" s="30" t="s">
        <v>190</v>
      </c>
      <c r="H522" s="33">
        <v>46086.0</v>
      </c>
      <c r="I522" s="30" t="s">
        <v>201</v>
      </c>
      <c r="J522" s="30" t="s">
        <v>201</v>
      </c>
      <c r="K522" s="43" t="s">
        <v>202</v>
      </c>
      <c r="L522" s="30" t="s">
        <v>195</v>
      </c>
      <c r="M522" s="30">
        <v>2.0</v>
      </c>
      <c r="N522" s="30" t="s">
        <v>216</v>
      </c>
      <c r="O522" s="30" t="s">
        <v>194</v>
      </c>
      <c r="P522" s="30">
        <v>160.0</v>
      </c>
      <c r="Q522" s="30" t="s">
        <v>195</v>
      </c>
      <c r="R522" s="30" t="s">
        <v>196</v>
      </c>
      <c r="S522" s="30" t="s">
        <v>197</v>
      </c>
      <c r="T522" s="30" t="s">
        <v>1673</v>
      </c>
      <c r="U522" s="30">
        <v>2.0143025E7</v>
      </c>
    </row>
    <row r="523">
      <c r="A523" s="30">
        <v>51.506661</v>
      </c>
      <c r="B523" s="30">
        <v>25.18763</v>
      </c>
      <c r="C523" s="30" t="str">
        <f t="shared" si="1"/>
        <v>51.506661 25.18763</v>
      </c>
      <c r="D523" s="30">
        <v>56.0</v>
      </c>
      <c r="E523" s="36" t="s">
        <v>310</v>
      </c>
      <c r="F523" s="32" t="s">
        <v>1674</v>
      </c>
      <c r="G523" s="30" t="s">
        <v>190</v>
      </c>
      <c r="H523" s="33">
        <v>46088.0</v>
      </c>
      <c r="I523" s="30">
        <v>1390639.0</v>
      </c>
      <c r="J523" s="41" t="s">
        <v>210</v>
      </c>
      <c r="K523" s="34" t="s">
        <v>291</v>
      </c>
      <c r="L523" s="30" t="s">
        <v>195</v>
      </c>
      <c r="M523" s="30">
        <v>2.0</v>
      </c>
      <c r="N523" s="30" t="s">
        <v>216</v>
      </c>
      <c r="O523" s="30" t="s">
        <v>194</v>
      </c>
      <c r="P523" s="30">
        <v>160.0</v>
      </c>
      <c r="Q523" s="30" t="s">
        <v>195</v>
      </c>
      <c r="R523" s="30" t="s">
        <v>196</v>
      </c>
      <c r="S523" s="30" t="s">
        <v>197</v>
      </c>
      <c r="T523" s="30" t="s">
        <v>1675</v>
      </c>
      <c r="U523" s="30">
        <v>2.0143026E7</v>
      </c>
    </row>
    <row r="524">
      <c r="A524" s="30">
        <v>51.510021</v>
      </c>
      <c r="B524" s="30">
        <v>25.187076</v>
      </c>
      <c r="C524" s="30" t="str">
        <f t="shared" si="1"/>
        <v>51.510021 25.187076</v>
      </c>
      <c r="D524" s="30">
        <v>91.0</v>
      </c>
      <c r="E524" s="36" t="s">
        <v>323</v>
      </c>
      <c r="F524" s="32" t="s">
        <v>1676</v>
      </c>
      <c r="G524" s="30" t="s">
        <v>190</v>
      </c>
      <c r="H524" s="33">
        <v>46088.0</v>
      </c>
      <c r="I524" s="30">
        <v>1390638.0</v>
      </c>
      <c r="J524" s="41" t="s">
        <v>210</v>
      </c>
      <c r="K524" s="37" t="s">
        <v>202</v>
      </c>
      <c r="L524" s="30" t="s">
        <v>195</v>
      </c>
      <c r="M524" s="30">
        <v>3.0</v>
      </c>
      <c r="N524" s="30" t="s">
        <v>193</v>
      </c>
      <c r="O524" s="30" t="s">
        <v>194</v>
      </c>
      <c r="P524" s="30">
        <v>160.0</v>
      </c>
      <c r="Q524" s="30" t="s">
        <v>195</v>
      </c>
      <c r="R524" s="30" t="s">
        <v>196</v>
      </c>
      <c r="S524" s="30" t="s">
        <v>197</v>
      </c>
      <c r="T524" s="30" t="s">
        <v>1677</v>
      </c>
      <c r="U524" s="30">
        <v>2.0143027E7</v>
      </c>
    </row>
    <row r="525">
      <c r="A525" s="30">
        <v>51.509885</v>
      </c>
      <c r="B525" s="30">
        <v>25.18507</v>
      </c>
      <c r="C525" s="30" t="str">
        <f t="shared" si="1"/>
        <v>51.509885 25.18507</v>
      </c>
      <c r="D525" s="30">
        <v>91.0</v>
      </c>
      <c r="E525" s="36" t="s">
        <v>471</v>
      </c>
      <c r="F525" s="32" t="s">
        <v>1678</v>
      </c>
      <c r="G525" s="30" t="s">
        <v>190</v>
      </c>
      <c r="H525" s="33">
        <v>46086.0</v>
      </c>
      <c r="I525" s="30">
        <v>1390636.0</v>
      </c>
      <c r="J525" s="41" t="s">
        <v>210</v>
      </c>
      <c r="K525" s="34" t="s">
        <v>291</v>
      </c>
      <c r="L525" s="30" t="s">
        <v>195</v>
      </c>
      <c r="M525" s="30">
        <v>3.0</v>
      </c>
      <c r="N525" s="30" t="s">
        <v>193</v>
      </c>
      <c r="O525" s="30" t="s">
        <v>194</v>
      </c>
      <c r="P525" s="30">
        <v>160.0</v>
      </c>
      <c r="Q525" s="30" t="s">
        <v>195</v>
      </c>
      <c r="R525" s="30" t="s">
        <v>196</v>
      </c>
      <c r="S525" s="30" t="s">
        <v>197</v>
      </c>
      <c r="T525" s="30" t="s">
        <v>1679</v>
      </c>
      <c r="U525" s="30">
        <v>2.0143028E7</v>
      </c>
    </row>
    <row r="526">
      <c r="A526" s="30">
        <v>51.512992</v>
      </c>
      <c r="B526" s="30">
        <v>25.189733</v>
      </c>
      <c r="C526" s="30" t="str">
        <f t="shared" si="1"/>
        <v>51.512992 25.189733</v>
      </c>
      <c r="D526" s="30">
        <v>91.0</v>
      </c>
      <c r="E526" s="36" t="s">
        <v>726</v>
      </c>
      <c r="F526" s="32" t="s">
        <v>1680</v>
      </c>
      <c r="G526" s="30" t="s">
        <v>190</v>
      </c>
      <c r="H526" s="33">
        <v>46086.0</v>
      </c>
      <c r="I526" s="30">
        <v>1391210.0</v>
      </c>
      <c r="J526" s="41" t="s">
        <v>210</v>
      </c>
      <c r="K526" s="34" t="s">
        <v>291</v>
      </c>
      <c r="L526" s="30" t="s">
        <v>195</v>
      </c>
      <c r="M526" s="30">
        <v>3.0</v>
      </c>
      <c r="N526" s="30" t="s">
        <v>193</v>
      </c>
      <c r="O526" s="30" t="s">
        <v>194</v>
      </c>
      <c r="P526" s="30">
        <v>160.0</v>
      </c>
      <c r="Q526" s="30" t="s">
        <v>195</v>
      </c>
      <c r="R526" s="30" t="s">
        <v>196</v>
      </c>
      <c r="S526" s="30" t="s">
        <v>197</v>
      </c>
      <c r="T526" s="30" t="s">
        <v>1681</v>
      </c>
      <c r="U526" s="30">
        <v>2.0143029E7</v>
      </c>
    </row>
    <row r="527">
      <c r="A527" s="30">
        <v>51.512212</v>
      </c>
      <c r="B527" s="30">
        <v>25.191541</v>
      </c>
      <c r="C527" s="30" t="str">
        <f t="shared" si="1"/>
        <v>51.512212 25.191541</v>
      </c>
      <c r="D527" s="30">
        <v>56.0</v>
      </c>
      <c r="E527" s="36" t="s">
        <v>554</v>
      </c>
      <c r="F527" s="40" t="s">
        <v>201</v>
      </c>
      <c r="G527" s="30" t="s">
        <v>190</v>
      </c>
      <c r="H527" s="33">
        <v>46085.0</v>
      </c>
      <c r="I527" s="30">
        <v>1391211.0</v>
      </c>
      <c r="J527" s="41" t="s">
        <v>1682</v>
      </c>
      <c r="K527" s="43" t="s">
        <v>202</v>
      </c>
      <c r="L527" s="30" t="s">
        <v>1683</v>
      </c>
      <c r="M527" s="30">
        <v>2.0</v>
      </c>
      <c r="N527" s="30" t="s">
        <v>216</v>
      </c>
      <c r="O527" s="30" t="s">
        <v>194</v>
      </c>
      <c r="P527" s="30">
        <v>160.0</v>
      </c>
      <c r="Q527" s="30" t="s">
        <v>221</v>
      </c>
      <c r="R527" s="30" t="s">
        <v>196</v>
      </c>
      <c r="S527" s="30" t="s">
        <v>197</v>
      </c>
      <c r="T527" s="30" t="s">
        <v>1684</v>
      </c>
      <c r="U527" s="30">
        <v>2.014303E7</v>
      </c>
    </row>
    <row r="528">
      <c r="A528" s="30">
        <v>51.513144</v>
      </c>
      <c r="B528" s="30">
        <v>25.192378</v>
      </c>
      <c r="C528" s="30" t="str">
        <f t="shared" si="1"/>
        <v>51.513144 25.192378</v>
      </c>
      <c r="D528" s="30">
        <v>56.0</v>
      </c>
      <c r="E528" s="36" t="s">
        <v>264</v>
      </c>
      <c r="F528" s="40" t="s">
        <v>201</v>
      </c>
      <c r="G528" s="30" t="s">
        <v>190</v>
      </c>
      <c r="H528" s="33">
        <v>46085.0</v>
      </c>
      <c r="I528" s="30" t="s">
        <v>201</v>
      </c>
      <c r="J528" s="41" t="s">
        <v>1685</v>
      </c>
      <c r="K528" s="37" t="s">
        <v>202</v>
      </c>
      <c r="L528" s="30" t="s">
        <v>195</v>
      </c>
      <c r="M528" s="30">
        <v>2.0</v>
      </c>
      <c r="N528" s="30" t="s">
        <v>216</v>
      </c>
      <c r="O528" s="30" t="s">
        <v>194</v>
      </c>
      <c r="P528" s="30">
        <v>160.0</v>
      </c>
      <c r="Q528" s="30" t="s">
        <v>195</v>
      </c>
      <c r="R528" s="30" t="s">
        <v>196</v>
      </c>
      <c r="S528" s="30" t="s">
        <v>197</v>
      </c>
      <c r="T528" s="30" t="s">
        <v>1686</v>
      </c>
      <c r="U528" s="30">
        <v>2.0143031E7</v>
      </c>
    </row>
    <row r="529">
      <c r="A529" s="30">
        <v>51.519868</v>
      </c>
      <c r="B529" s="30">
        <v>25.194808</v>
      </c>
      <c r="C529" s="30" t="str">
        <f t="shared" si="1"/>
        <v>51.519868 25.194808</v>
      </c>
      <c r="D529" s="30">
        <v>91.0</v>
      </c>
      <c r="E529" s="36" t="s">
        <v>558</v>
      </c>
      <c r="F529" s="32" t="s">
        <v>201</v>
      </c>
      <c r="G529" s="30" t="s">
        <v>190</v>
      </c>
      <c r="H529" s="33">
        <v>46098.0</v>
      </c>
      <c r="I529" s="30">
        <v>1391212.0</v>
      </c>
      <c r="J529" s="30" t="s">
        <v>201</v>
      </c>
      <c r="K529" s="37" t="s">
        <v>202</v>
      </c>
      <c r="L529" s="35"/>
      <c r="M529" s="30">
        <v>3.0</v>
      </c>
      <c r="N529" s="30" t="s">
        <v>220</v>
      </c>
      <c r="O529" s="30" t="s">
        <v>194</v>
      </c>
      <c r="P529" s="30">
        <v>160.0</v>
      </c>
      <c r="Q529" s="30" t="s">
        <v>195</v>
      </c>
      <c r="R529" s="30" t="s">
        <v>196</v>
      </c>
      <c r="S529" s="30" t="s">
        <v>197</v>
      </c>
      <c r="T529" s="30" t="s">
        <v>1687</v>
      </c>
      <c r="U529" s="30">
        <v>2.0143032E7</v>
      </c>
    </row>
    <row r="530">
      <c r="A530" s="30">
        <v>51.518136</v>
      </c>
      <c r="B530" s="30">
        <v>25.193842</v>
      </c>
      <c r="C530" s="30" t="str">
        <f t="shared" si="1"/>
        <v>51.518136 25.193842</v>
      </c>
      <c r="D530" s="30">
        <v>91.0</v>
      </c>
      <c r="E530" s="39" t="s">
        <v>228</v>
      </c>
      <c r="F530" s="40" t="s">
        <v>1688</v>
      </c>
      <c r="G530" s="30" t="s">
        <v>190</v>
      </c>
      <c r="H530" s="42">
        <v>46086.0</v>
      </c>
      <c r="I530" s="41">
        <v>1391212.0</v>
      </c>
      <c r="J530" s="41" t="s">
        <v>1689</v>
      </c>
      <c r="K530" s="37" t="s">
        <v>202</v>
      </c>
      <c r="L530" s="41" t="s">
        <v>195</v>
      </c>
      <c r="M530" s="41">
        <v>3.0</v>
      </c>
      <c r="N530" s="30" t="s">
        <v>193</v>
      </c>
      <c r="O530" s="30" t="s">
        <v>194</v>
      </c>
      <c r="P530" s="30">
        <v>160.0</v>
      </c>
      <c r="Q530" s="30" t="s">
        <v>221</v>
      </c>
      <c r="R530" s="30" t="s">
        <v>222</v>
      </c>
      <c r="S530" s="30" t="s">
        <v>197</v>
      </c>
      <c r="T530" s="30" t="s">
        <v>1690</v>
      </c>
      <c r="U530" s="30">
        <v>2.0143033E7</v>
      </c>
    </row>
    <row r="531">
      <c r="A531" s="30">
        <v>51.520627</v>
      </c>
      <c r="B531" s="30">
        <v>25.197287</v>
      </c>
      <c r="C531" s="30" t="str">
        <f t="shared" si="1"/>
        <v>51.520627 25.197287</v>
      </c>
      <c r="D531" s="30">
        <v>56.0</v>
      </c>
      <c r="E531" s="36" t="s">
        <v>1691</v>
      </c>
      <c r="F531" s="40" t="s">
        <v>201</v>
      </c>
      <c r="G531" s="30" t="s">
        <v>190</v>
      </c>
      <c r="H531" s="33">
        <v>46085.0</v>
      </c>
      <c r="I531" s="30">
        <v>1391213.0</v>
      </c>
      <c r="J531" s="41" t="s">
        <v>1682</v>
      </c>
      <c r="K531" s="43" t="s">
        <v>202</v>
      </c>
      <c r="L531" s="30" t="s">
        <v>195</v>
      </c>
      <c r="M531" s="30">
        <v>2.0</v>
      </c>
      <c r="N531" s="30" t="s">
        <v>216</v>
      </c>
      <c r="O531" s="30" t="s">
        <v>194</v>
      </c>
      <c r="P531" s="30">
        <v>160.0</v>
      </c>
      <c r="Q531" s="30" t="s">
        <v>446</v>
      </c>
      <c r="R531" s="30" t="s">
        <v>196</v>
      </c>
      <c r="S531" s="30" t="s">
        <v>197</v>
      </c>
      <c r="T531" s="30" t="s">
        <v>1692</v>
      </c>
      <c r="U531" s="30">
        <v>2.0143034E7</v>
      </c>
    </row>
    <row r="532">
      <c r="A532" s="30">
        <v>51.523487</v>
      </c>
      <c r="B532" s="30">
        <v>25.19835</v>
      </c>
      <c r="C532" s="30" t="str">
        <f t="shared" si="1"/>
        <v>51.523487 25.19835</v>
      </c>
      <c r="D532" s="30">
        <v>56.0</v>
      </c>
      <c r="E532" s="36" t="s">
        <v>266</v>
      </c>
      <c r="F532" s="32" t="s">
        <v>1693</v>
      </c>
      <c r="G532" s="30" t="s">
        <v>190</v>
      </c>
      <c r="H532" s="33">
        <v>46089.0</v>
      </c>
      <c r="I532" s="30" t="s">
        <v>201</v>
      </c>
      <c r="J532" s="41" t="s">
        <v>1694</v>
      </c>
      <c r="K532" s="37" t="s">
        <v>202</v>
      </c>
      <c r="L532" s="30" t="s">
        <v>195</v>
      </c>
      <c r="M532" s="30">
        <v>2.0</v>
      </c>
      <c r="N532" s="30" t="s">
        <v>216</v>
      </c>
      <c r="O532" s="30" t="s">
        <v>194</v>
      </c>
      <c r="P532" s="30">
        <v>160.0</v>
      </c>
      <c r="Q532" s="30" t="s">
        <v>195</v>
      </c>
      <c r="R532" s="30" t="s">
        <v>196</v>
      </c>
      <c r="S532" s="30" t="s">
        <v>197</v>
      </c>
      <c r="T532" s="30" t="s">
        <v>1695</v>
      </c>
      <c r="U532" s="30">
        <v>2.0143035E7</v>
      </c>
    </row>
    <row r="533">
      <c r="A533" s="30">
        <v>51.526543</v>
      </c>
      <c r="B533" s="30">
        <v>25.198306</v>
      </c>
      <c r="C533" s="30" t="str">
        <f t="shared" si="1"/>
        <v>51.526543 25.198306</v>
      </c>
      <c r="D533" s="30">
        <v>91.0</v>
      </c>
      <c r="E533" s="39" t="s">
        <v>482</v>
      </c>
      <c r="F533" s="40" t="s">
        <v>1696</v>
      </c>
      <c r="G533" s="30" t="s">
        <v>190</v>
      </c>
      <c r="H533" s="42">
        <v>46089.0</v>
      </c>
      <c r="I533" s="41" t="s">
        <v>201</v>
      </c>
      <c r="J533" s="41" t="s">
        <v>1697</v>
      </c>
      <c r="K533" s="37" t="s">
        <v>202</v>
      </c>
      <c r="L533" s="41" t="s">
        <v>195</v>
      </c>
      <c r="M533" s="41">
        <v>3.0</v>
      </c>
      <c r="N533" s="30" t="s">
        <v>193</v>
      </c>
      <c r="O533" s="30" t="s">
        <v>194</v>
      </c>
      <c r="P533" s="30">
        <v>160.0</v>
      </c>
      <c r="Q533" s="30" t="s">
        <v>221</v>
      </c>
      <c r="R533" s="30" t="s">
        <v>222</v>
      </c>
      <c r="S533" s="30" t="s">
        <v>197</v>
      </c>
      <c r="T533" s="30" t="s">
        <v>1698</v>
      </c>
      <c r="U533" s="30">
        <v>2.0143036E7</v>
      </c>
    </row>
    <row r="534">
      <c r="A534" s="30">
        <v>51.529379</v>
      </c>
      <c r="B534" s="30">
        <v>25.200731</v>
      </c>
      <c r="C534" s="30" t="str">
        <f t="shared" si="1"/>
        <v>51.529379 25.200731</v>
      </c>
      <c r="D534" s="30">
        <v>56.0</v>
      </c>
      <c r="E534" s="36" t="s">
        <v>1699</v>
      </c>
      <c r="F534" s="32" t="s">
        <v>201</v>
      </c>
      <c r="G534" s="30" t="s">
        <v>190</v>
      </c>
      <c r="H534" s="33">
        <v>46084.0</v>
      </c>
      <c r="I534" s="30">
        <v>1391214.0</v>
      </c>
      <c r="J534" s="30" t="s">
        <v>1700</v>
      </c>
      <c r="K534" s="43" t="s">
        <v>202</v>
      </c>
      <c r="L534" s="30" t="s">
        <v>195</v>
      </c>
      <c r="M534" s="30">
        <v>3.0</v>
      </c>
      <c r="N534" s="30" t="s">
        <v>216</v>
      </c>
      <c r="O534" s="30" t="s">
        <v>194</v>
      </c>
      <c r="P534" s="30">
        <v>160.0</v>
      </c>
      <c r="Q534" s="30" t="s">
        <v>446</v>
      </c>
      <c r="R534" s="30" t="s">
        <v>196</v>
      </c>
      <c r="S534" s="30" t="s">
        <v>197</v>
      </c>
      <c r="T534" s="30" t="s">
        <v>1701</v>
      </c>
      <c r="U534" s="30">
        <v>2.0143037E7</v>
      </c>
    </row>
    <row r="535">
      <c r="A535" s="30">
        <v>51.528246</v>
      </c>
      <c r="B535" s="30">
        <v>25.200272</v>
      </c>
      <c r="C535" s="30" t="str">
        <f t="shared" si="1"/>
        <v>51.528246 25.200272</v>
      </c>
      <c r="D535" s="30">
        <v>56.0</v>
      </c>
      <c r="E535" s="36" t="s">
        <v>293</v>
      </c>
      <c r="F535" s="32" t="s">
        <v>242</v>
      </c>
      <c r="G535" s="30" t="s">
        <v>190</v>
      </c>
      <c r="H535" s="33">
        <v>46080.0</v>
      </c>
      <c r="I535" s="30" t="s">
        <v>201</v>
      </c>
      <c r="J535" s="30" t="s">
        <v>1702</v>
      </c>
      <c r="K535" s="37" t="s">
        <v>202</v>
      </c>
      <c r="L535" s="30" t="s">
        <v>195</v>
      </c>
      <c r="M535" s="30">
        <v>2.0</v>
      </c>
      <c r="N535" s="30" t="s">
        <v>216</v>
      </c>
      <c r="O535" s="30" t="s">
        <v>194</v>
      </c>
      <c r="P535" s="30">
        <v>160.0</v>
      </c>
      <c r="Q535" s="30" t="s">
        <v>195</v>
      </c>
      <c r="R535" s="30" t="s">
        <v>196</v>
      </c>
      <c r="S535" s="30" t="s">
        <v>197</v>
      </c>
      <c r="T535" s="30" t="s">
        <v>1703</v>
      </c>
      <c r="U535" s="30">
        <v>2.0143038E7</v>
      </c>
    </row>
    <row r="536">
      <c r="A536" s="30">
        <v>51.531013</v>
      </c>
      <c r="B536" s="30">
        <v>25.199954</v>
      </c>
      <c r="C536" s="30" t="str">
        <f t="shared" si="1"/>
        <v>51.531013 25.199954</v>
      </c>
      <c r="D536" s="30">
        <v>91.0</v>
      </c>
      <c r="E536" s="36" t="s">
        <v>289</v>
      </c>
      <c r="F536" s="32" t="s">
        <v>1571</v>
      </c>
      <c r="G536" s="30" t="s">
        <v>190</v>
      </c>
      <c r="H536" s="33">
        <v>46097.0</v>
      </c>
      <c r="I536" s="30">
        <v>1391215.0</v>
      </c>
      <c r="J536" s="30" t="s">
        <v>1704</v>
      </c>
      <c r="K536" s="34" t="s">
        <v>252</v>
      </c>
      <c r="L536" s="35"/>
      <c r="M536" s="30">
        <v>3.0</v>
      </c>
      <c r="N536" s="30" t="s">
        <v>193</v>
      </c>
      <c r="O536" s="30" t="s">
        <v>194</v>
      </c>
      <c r="P536" s="30">
        <v>160.0</v>
      </c>
      <c r="Q536" s="30" t="s">
        <v>195</v>
      </c>
      <c r="R536" s="30" t="s">
        <v>196</v>
      </c>
      <c r="S536" s="30" t="s">
        <v>197</v>
      </c>
      <c r="T536" s="30" t="s">
        <v>1705</v>
      </c>
      <c r="U536" s="30">
        <v>2.0143039E7</v>
      </c>
    </row>
    <row r="537">
      <c r="A537" s="30">
        <v>51.535499</v>
      </c>
      <c r="B537" s="30">
        <v>25.200917</v>
      </c>
      <c r="C537" s="30" t="str">
        <f t="shared" si="1"/>
        <v>51.535499 25.200917</v>
      </c>
      <c r="D537" s="30">
        <v>91.0</v>
      </c>
      <c r="E537" s="39" t="s">
        <v>1706</v>
      </c>
      <c r="F537" s="40" t="s">
        <v>1707</v>
      </c>
      <c r="G537" s="30" t="s">
        <v>190</v>
      </c>
      <c r="H537" s="42">
        <v>46073.0</v>
      </c>
      <c r="I537" s="41">
        <v>1391215.0</v>
      </c>
      <c r="J537" s="41" t="s">
        <v>1708</v>
      </c>
      <c r="K537" s="37" t="s">
        <v>202</v>
      </c>
      <c r="L537" s="41" t="s">
        <v>195</v>
      </c>
      <c r="M537" s="41">
        <v>2.0</v>
      </c>
      <c r="N537" s="30" t="s">
        <v>193</v>
      </c>
      <c r="O537" s="30" t="s">
        <v>194</v>
      </c>
      <c r="P537" s="30">
        <v>160.0</v>
      </c>
      <c r="Q537" s="30" t="s">
        <v>195</v>
      </c>
      <c r="R537" s="30" t="s">
        <v>196</v>
      </c>
      <c r="S537" s="30" t="s">
        <v>197</v>
      </c>
      <c r="T537" s="30" t="s">
        <v>1709</v>
      </c>
      <c r="U537" s="30">
        <v>2.014304E7</v>
      </c>
    </row>
    <row r="538">
      <c r="A538" s="30">
        <v>51.53504</v>
      </c>
      <c r="B538" s="30">
        <v>25.203175</v>
      </c>
      <c r="C538" s="30" t="str">
        <f t="shared" si="1"/>
        <v>51.53504 25.203175</v>
      </c>
      <c r="D538" s="30">
        <v>56.0</v>
      </c>
      <c r="E538" s="36" t="s">
        <v>1710</v>
      </c>
      <c r="F538" s="32" t="s">
        <v>1711</v>
      </c>
      <c r="G538" s="30" t="s">
        <v>190</v>
      </c>
      <c r="H538" s="33">
        <v>46088.0</v>
      </c>
      <c r="I538" s="30">
        <v>1391215.0</v>
      </c>
      <c r="J538" s="30" t="s">
        <v>201</v>
      </c>
      <c r="K538" s="34" t="s">
        <v>1293</v>
      </c>
      <c r="L538" s="35"/>
      <c r="M538" s="30">
        <v>3.0</v>
      </c>
      <c r="N538" s="30" t="s">
        <v>193</v>
      </c>
      <c r="O538" s="30" t="s">
        <v>194</v>
      </c>
      <c r="P538" s="30">
        <v>160.0</v>
      </c>
      <c r="Q538" s="30" t="s">
        <v>446</v>
      </c>
      <c r="R538" s="30" t="s">
        <v>196</v>
      </c>
      <c r="S538" s="30" t="s">
        <v>197</v>
      </c>
      <c r="T538" s="30" t="s">
        <v>1712</v>
      </c>
      <c r="U538" s="30">
        <v>2.0143041E7</v>
      </c>
    </row>
    <row r="539">
      <c r="A539" s="71">
        <v>51.538202</v>
      </c>
      <c r="B539" s="71">
        <v>25.210212</v>
      </c>
      <c r="C539" s="30" t="str">
        <f t="shared" si="1"/>
        <v>51.538202 25.210212</v>
      </c>
      <c r="D539" s="71">
        <v>56.0</v>
      </c>
      <c r="E539" s="72" t="s">
        <v>1713</v>
      </c>
      <c r="F539" s="73" t="s">
        <v>1714</v>
      </c>
      <c r="G539" s="30" t="s">
        <v>190</v>
      </c>
      <c r="H539" s="74">
        <v>46102.0</v>
      </c>
      <c r="I539" s="71">
        <v>1391218.0</v>
      </c>
      <c r="J539" s="30" t="s">
        <v>1715</v>
      </c>
      <c r="K539" s="34" t="s">
        <v>192</v>
      </c>
      <c r="L539" s="35"/>
      <c r="M539" s="30">
        <v>3.0</v>
      </c>
      <c r="N539" s="71" t="s">
        <v>193</v>
      </c>
      <c r="O539" s="71" t="s">
        <v>194</v>
      </c>
      <c r="P539" s="71">
        <v>160.0</v>
      </c>
      <c r="Q539" s="75" t="s">
        <v>195</v>
      </c>
      <c r="R539" s="75" t="s">
        <v>196</v>
      </c>
      <c r="S539" s="71" t="s">
        <v>197</v>
      </c>
      <c r="T539" s="71" t="s">
        <v>1716</v>
      </c>
      <c r="U539" s="71">
        <v>2.0143042E7</v>
      </c>
    </row>
    <row r="540">
      <c r="A540" s="30">
        <v>51.537803</v>
      </c>
      <c r="B540" s="30">
        <v>25.2116</v>
      </c>
      <c r="C540" s="30" t="str">
        <f t="shared" si="1"/>
        <v>51.537803 25.2116</v>
      </c>
      <c r="D540" s="30">
        <v>56.0</v>
      </c>
      <c r="E540" s="36" t="s">
        <v>329</v>
      </c>
      <c r="F540" s="32" t="s">
        <v>1717</v>
      </c>
      <c r="G540" s="30" t="s">
        <v>190</v>
      </c>
      <c r="H540" s="33">
        <v>46085.0</v>
      </c>
      <c r="I540" s="30">
        <v>1391217.0</v>
      </c>
      <c r="J540" s="30" t="s">
        <v>1718</v>
      </c>
      <c r="K540" s="37" t="s">
        <v>202</v>
      </c>
      <c r="L540" s="30" t="s">
        <v>195</v>
      </c>
      <c r="M540" s="30">
        <v>2.0</v>
      </c>
      <c r="N540" s="30" t="s">
        <v>216</v>
      </c>
      <c r="O540" s="30" t="s">
        <v>194</v>
      </c>
      <c r="P540" s="30">
        <v>160.0</v>
      </c>
      <c r="Q540" s="30" t="s">
        <v>195</v>
      </c>
      <c r="R540" s="30" t="s">
        <v>196</v>
      </c>
      <c r="S540" s="30" t="s">
        <v>197</v>
      </c>
      <c r="T540" s="30" t="s">
        <v>1719</v>
      </c>
      <c r="U540" s="30">
        <v>2.0143043E7</v>
      </c>
    </row>
    <row r="541">
      <c r="A541" s="71">
        <v>51.538472</v>
      </c>
      <c r="B541" s="71">
        <v>25.20867</v>
      </c>
      <c r="C541" s="30" t="str">
        <f t="shared" si="1"/>
        <v>51.538472 25.20867</v>
      </c>
      <c r="D541" s="71">
        <v>56.0</v>
      </c>
      <c r="E541" s="72" t="s">
        <v>1720</v>
      </c>
      <c r="F541" s="73" t="s">
        <v>1721</v>
      </c>
      <c r="G541" s="30" t="s">
        <v>190</v>
      </c>
      <c r="H541" s="74">
        <v>46104.0</v>
      </c>
      <c r="I541" s="71">
        <v>1390689.0</v>
      </c>
      <c r="J541" s="30" t="s">
        <v>201</v>
      </c>
      <c r="K541" s="37" t="s">
        <v>202</v>
      </c>
      <c r="L541" s="35"/>
      <c r="M541" s="30">
        <v>3.0</v>
      </c>
      <c r="N541" s="71" t="s">
        <v>304</v>
      </c>
      <c r="O541" s="71" t="s">
        <v>194</v>
      </c>
      <c r="P541" s="71">
        <v>160.0</v>
      </c>
      <c r="Q541" s="75" t="s">
        <v>195</v>
      </c>
      <c r="R541" s="75" t="s">
        <v>196</v>
      </c>
      <c r="S541" s="71" t="s">
        <v>197</v>
      </c>
      <c r="T541" s="71" t="s">
        <v>1722</v>
      </c>
      <c r="U541" s="71">
        <v>2.0143044E7</v>
      </c>
    </row>
    <row r="542">
      <c r="A542" s="30">
        <v>51.54057</v>
      </c>
      <c r="B542" s="30">
        <v>25.209627</v>
      </c>
      <c r="C542" s="30" t="str">
        <f t="shared" si="1"/>
        <v>51.54057 25.209627</v>
      </c>
      <c r="D542" s="30">
        <v>50.0</v>
      </c>
      <c r="E542" s="36" t="s">
        <v>513</v>
      </c>
      <c r="F542" s="32" t="s">
        <v>1723</v>
      </c>
      <c r="G542" s="30" t="s">
        <v>190</v>
      </c>
      <c r="H542" s="33">
        <v>46091.0</v>
      </c>
      <c r="I542" s="30">
        <v>1390693.0</v>
      </c>
      <c r="J542" s="30" t="s">
        <v>1724</v>
      </c>
      <c r="K542" s="37" t="s">
        <v>202</v>
      </c>
      <c r="L542" s="30" t="s">
        <v>195</v>
      </c>
      <c r="M542" s="30">
        <v>4.0</v>
      </c>
      <c r="N542" s="30" t="s">
        <v>216</v>
      </c>
      <c r="O542" s="30" t="s">
        <v>194</v>
      </c>
      <c r="P542" s="30">
        <v>160.0</v>
      </c>
      <c r="Q542" s="30" t="s">
        <v>221</v>
      </c>
      <c r="R542" s="30" t="s">
        <v>222</v>
      </c>
      <c r="S542" s="30" t="s">
        <v>197</v>
      </c>
      <c r="T542" s="30" t="s">
        <v>1725</v>
      </c>
      <c r="U542" s="30">
        <v>2.0143045E7</v>
      </c>
    </row>
    <row r="543">
      <c r="A543" s="30">
        <v>51.539363</v>
      </c>
      <c r="B543" s="30">
        <v>25.205778</v>
      </c>
      <c r="C543" s="30" t="str">
        <f t="shared" si="1"/>
        <v>51.539363 25.205778</v>
      </c>
      <c r="D543" s="30">
        <v>56.0</v>
      </c>
      <c r="E543" s="39" t="s">
        <v>1221</v>
      </c>
      <c r="F543" s="32" t="s">
        <v>1726</v>
      </c>
      <c r="G543" s="30" t="s">
        <v>190</v>
      </c>
      <c r="H543" s="33">
        <v>46085.0</v>
      </c>
      <c r="I543" s="41">
        <v>1390687.0</v>
      </c>
      <c r="J543" s="41" t="s">
        <v>1682</v>
      </c>
      <c r="K543" s="37" t="s">
        <v>202</v>
      </c>
      <c r="L543" s="30" t="s">
        <v>1683</v>
      </c>
      <c r="M543" s="30">
        <v>3.0</v>
      </c>
      <c r="N543" s="30" t="s">
        <v>216</v>
      </c>
      <c r="O543" s="30" t="s">
        <v>194</v>
      </c>
      <c r="P543" s="30">
        <v>160.0</v>
      </c>
      <c r="Q543" s="30" t="s">
        <v>221</v>
      </c>
      <c r="R543" s="30" t="s">
        <v>196</v>
      </c>
      <c r="S543" s="30" t="s">
        <v>197</v>
      </c>
      <c r="T543" s="30" t="s">
        <v>1727</v>
      </c>
      <c r="U543" s="30">
        <v>2.0143046E7</v>
      </c>
    </row>
    <row r="544">
      <c r="A544" s="30">
        <v>51.539946</v>
      </c>
      <c r="B544" s="30">
        <v>25.206205</v>
      </c>
      <c r="C544" s="30" t="str">
        <f t="shared" si="1"/>
        <v>51.539946 25.206205</v>
      </c>
      <c r="D544" s="30">
        <v>56.0</v>
      </c>
      <c r="E544" s="39" t="s">
        <v>489</v>
      </c>
      <c r="F544" s="32" t="s">
        <v>1728</v>
      </c>
      <c r="G544" s="30" t="s">
        <v>190</v>
      </c>
      <c r="H544" s="33">
        <v>46085.0</v>
      </c>
      <c r="I544" s="30" t="s">
        <v>201</v>
      </c>
      <c r="J544" s="41" t="s">
        <v>1729</v>
      </c>
      <c r="K544" s="37" t="s">
        <v>202</v>
      </c>
      <c r="L544" s="30" t="s">
        <v>320</v>
      </c>
      <c r="M544" s="30">
        <v>3.0</v>
      </c>
      <c r="N544" s="30" t="s">
        <v>216</v>
      </c>
      <c r="O544" s="30" t="s">
        <v>194</v>
      </c>
      <c r="P544" s="30">
        <v>160.0</v>
      </c>
      <c r="Q544" s="30" t="s">
        <v>195</v>
      </c>
      <c r="R544" s="30" t="s">
        <v>196</v>
      </c>
      <c r="S544" s="30" t="s">
        <v>197</v>
      </c>
      <c r="T544" s="30" t="s">
        <v>1730</v>
      </c>
      <c r="U544" s="30">
        <v>2.0143047E7</v>
      </c>
    </row>
    <row r="545">
      <c r="A545" s="30">
        <v>51.541662</v>
      </c>
      <c r="B545" s="30">
        <v>25.205371</v>
      </c>
      <c r="C545" s="30" t="str">
        <f t="shared" si="1"/>
        <v>51.541662 25.205371</v>
      </c>
      <c r="D545" s="30">
        <v>50.0</v>
      </c>
      <c r="E545" s="36" t="s">
        <v>1731</v>
      </c>
      <c r="F545" s="32" t="s">
        <v>1732</v>
      </c>
      <c r="G545" s="30" t="s">
        <v>190</v>
      </c>
      <c r="H545" s="33">
        <v>46084.0</v>
      </c>
      <c r="I545" s="30">
        <v>1390692.0</v>
      </c>
      <c r="J545" s="30" t="s">
        <v>1733</v>
      </c>
      <c r="K545" s="37" t="s">
        <v>202</v>
      </c>
      <c r="L545" s="30" t="s">
        <v>320</v>
      </c>
      <c r="M545" s="30">
        <v>3.0</v>
      </c>
      <c r="N545" s="30" t="s">
        <v>216</v>
      </c>
      <c r="O545" s="30" t="s">
        <v>194</v>
      </c>
      <c r="P545" s="30">
        <v>160.0</v>
      </c>
      <c r="Q545" s="30" t="s">
        <v>221</v>
      </c>
      <c r="R545" s="30" t="s">
        <v>222</v>
      </c>
      <c r="S545" s="30" t="s">
        <v>197</v>
      </c>
      <c r="T545" s="30" t="s">
        <v>1734</v>
      </c>
      <c r="U545" s="30">
        <v>2.0143048E7</v>
      </c>
    </row>
    <row r="546">
      <c r="A546" s="30">
        <v>51.540153</v>
      </c>
      <c r="B546" s="30">
        <v>25.203431</v>
      </c>
      <c r="C546" s="30" t="str">
        <f t="shared" si="1"/>
        <v>51.540153 25.203431</v>
      </c>
      <c r="D546" s="30">
        <v>91.0</v>
      </c>
      <c r="E546" s="39" t="s">
        <v>1130</v>
      </c>
      <c r="F546" s="40" t="s">
        <v>1735</v>
      </c>
      <c r="G546" s="30" t="s">
        <v>190</v>
      </c>
      <c r="H546" s="42">
        <v>46086.0</v>
      </c>
      <c r="I546" s="41">
        <v>1390685.0</v>
      </c>
      <c r="J546" s="41" t="s">
        <v>1736</v>
      </c>
      <c r="K546" s="37" t="s">
        <v>202</v>
      </c>
      <c r="L546" s="41" t="s">
        <v>195</v>
      </c>
      <c r="M546" s="41">
        <v>2.0</v>
      </c>
      <c r="N546" s="30" t="s">
        <v>193</v>
      </c>
      <c r="O546" s="30" t="s">
        <v>194</v>
      </c>
      <c r="P546" s="30">
        <v>160.0</v>
      </c>
      <c r="Q546" s="30" t="s">
        <v>195</v>
      </c>
      <c r="R546" s="30" t="s">
        <v>196</v>
      </c>
      <c r="S546" s="30" t="s">
        <v>197</v>
      </c>
      <c r="T546" s="30" t="s">
        <v>1737</v>
      </c>
      <c r="U546" s="30">
        <v>2.0143049E7</v>
      </c>
    </row>
    <row r="547">
      <c r="A547" s="30">
        <v>51.543158</v>
      </c>
      <c r="B547" s="30">
        <v>25.19992</v>
      </c>
      <c r="C547" s="30" t="str">
        <f t="shared" si="1"/>
        <v>51.543158 25.19992</v>
      </c>
      <c r="D547" s="30">
        <v>91.0</v>
      </c>
      <c r="E547" s="36" t="s">
        <v>1738</v>
      </c>
      <c r="F547" s="32" t="s">
        <v>1739</v>
      </c>
      <c r="G547" s="30" t="s">
        <v>190</v>
      </c>
      <c r="H547" s="33">
        <v>46100.0</v>
      </c>
      <c r="I547" s="30">
        <v>1391220.0</v>
      </c>
      <c r="J547" s="30" t="s">
        <v>1740</v>
      </c>
      <c r="K547" s="37" t="s">
        <v>202</v>
      </c>
      <c r="L547" s="35"/>
      <c r="M547" s="30">
        <v>3.0</v>
      </c>
      <c r="N547" s="30" t="s">
        <v>216</v>
      </c>
      <c r="O547" s="30" t="s">
        <v>194</v>
      </c>
      <c r="P547" s="30">
        <v>160.0</v>
      </c>
      <c r="Q547" s="30" t="s">
        <v>195</v>
      </c>
      <c r="R547" s="30" t="s">
        <v>196</v>
      </c>
      <c r="S547" s="30" t="s">
        <v>197</v>
      </c>
      <c r="T547" s="30" t="s">
        <v>1741</v>
      </c>
      <c r="U547" s="30">
        <v>2.014305E7</v>
      </c>
    </row>
    <row r="548">
      <c r="A548" s="30">
        <v>51.541121</v>
      </c>
      <c r="B548" s="30">
        <v>25.199625</v>
      </c>
      <c r="C548" s="30" t="str">
        <f t="shared" si="1"/>
        <v>51.541121 25.199625</v>
      </c>
      <c r="D548" s="30">
        <v>91.0</v>
      </c>
      <c r="E548" s="36" t="s">
        <v>1663</v>
      </c>
      <c r="F548" s="32">
        <v>26.0</v>
      </c>
      <c r="G548" s="30" t="s">
        <v>190</v>
      </c>
      <c r="H548" s="33">
        <v>46100.0</v>
      </c>
      <c r="I548" s="30">
        <v>1390691.0</v>
      </c>
      <c r="J548" s="30" t="s">
        <v>1742</v>
      </c>
      <c r="K548" s="37" t="s">
        <v>202</v>
      </c>
      <c r="L548" s="35"/>
      <c r="M548" s="30">
        <v>3.0</v>
      </c>
      <c r="N548" s="30" t="s">
        <v>216</v>
      </c>
      <c r="O548" s="30" t="s">
        <v>194</v>
      </c>
      <c r="P548" s="30">
        <v>160.0</v>
      </c>
      <c r="Q548" s="30" t="s">
        <v>195</v>
      </c>
      <c r="R548" s="30" t="s">
        <v>196</v>
      </c>
      <c r="S548" s="30" t="s">
        <v>197</v>
      </c>
      <c r="T548" s="30" t="s">
        <v>1743</v>
      </c>
      <c r="U548" s="30">
        <v>2.0143051E7</v>
      </c>
    </row>
    <row r="549">
      <c r="A549" s="30">
        <v>51.543576</v>
      </c>
      <c r="B549" s="30">
        <v>25.198245</v>
      </c>
      <c r="C549" s="30" t="str">
        <f t="shared" si="1"/>
        <v>51.543576 25.198245</v>
      </c>
      <c r="D549" s="30">
        <v>91.0</v>
      </c>
      <c r="E549" s="36" t="s">
        <v>1744</v>
      </c>
      <c r="F549" s="32" t="s">
        <v>1745</v>
      </c>
      <c r="G549" s="30" t="s">
        <v>190</v>
      </c>
      <c r="H549" s="33">
        <v>46100.0</v>
      </c>
      <c r="I549" s="30" t="s">
        <v>201</v>
      </c>
      <c r="J549" s="30" t="s">
        <v>1746</v>
      </c>
      <c r="K549" s="37" t="s">
        <v>202</v>
      </c>
      <c r="L549" s="35"/>
      <c r="M549" s="30">
        <v>3.0</v>
      </c>
      <c r="N549" s="30" t="s">
        <v>216</v>
      </c>
      <c r="O549" s="30" t="s">
        <v>194</v>
      </c>
      <c r="P549" s="30">
        <v>160.0</v>
      </c>
      <c r="Q549" s="30" t="s">
        <v>195</v>
      </c>
      <c r="R549" s="30" t="s">
        <v>196</v>
      </c>
      <c r="S549" s="30" t="s">
        <v>197</v>
      </c>
      <c r="T549" s="30" t="s">
        <v>1747</v>
      </c>
      <c r="U549" s="30">
        <v>2.0143052E7</v>
      </c>
    </row>
    <row r="550">
      <c r="A550" s="30">
        <v>51.54468</v>
      </c>
      <c r="B550" s="30">
        <v>25.197957</v>
      </c>
      <c r="C550" s="30" t="str">
        <f t="shared" si="1"/>
        <v>51.54468 25.197957</v>
      </c>
      <c r="D550" s="30">
        <v>91.0</v>
      </c>
      <c r="E550" s="36" t="s">
        <v>1748</v>
      </c>
      <c r="F550" s="32" t="s">
        <v>496</v>
      </c>
      <c r="G550" s="30" t="s">
        <v>190</v>
      </c>
      <c r="H550" s="33">
        <v>46100.0</v>
      </c>
      <c r="I550" s="30">
        <v>1391221.0</v>
      </c>
      <c r="J550" s="30" t="s">
        <v>1749</v>
      </c>
      <c r="K550" s="37" t="s">
        <v>202</v>
      </c>
      <c r="L550" s="35"/>
      <c r="M550" s="30">
        <v>3.0</v>
      </c>
      <c r="N550" s="30" t="s">
        <v>216</v>
      </c>
      <c r="O550" s="30" t="s">
        <v>194</v>
      </c>
      <c r="P550" s="30">
        <v>160.0</v>
      </c>
      <c r="Q550" s="30" t="s">
        <v>195</v>
      </c>
      <c r="R550" s="30" t="s">
        <v>196</v>
      </c>
      <c r="S550" s="30" t="s">
        <v>197</v>
      </c>
      <c r="T550" s="30" t="s">
        <v>1750</v>
      </c>
      <c r="U550" s="30">
        <v>2.0143053E7</v>
      </c>
    </row>
    <row r="551">
      <c r="A551" s="30">
        <v>51.42075</v>
      </c>
      <c r="B551" s="30">
        <v>25.140838</v>
      </c>
      <c r="C551" s="30" t="str">
        <f t="shared" si="1"/>
        <v>51.42075 25.140838</v>
      </c>
      <c r="D551" s="30">
        <v>91.0</v>
      </c>
      <c r="E551" s="36" t="s">
        <v>1751</v>
      </c>
      <c r="F551" s="40" t="s">
        <v>201</v>
      </c>
      <c r="G551" s="30" t="s">
        <v>190</v>
      </c>
      <c r="H551" s="33">
        <v>46097.0</v>
      </c>
      <c r="I551" s="30">
        <v>1394047.0</v>
      </c>
      <c r="J551" s="30" t="s">
        <v>201</v>
      </c>
      <c r="K551" s="37" t="s">
        <v>202</v>
      </c>
      <c r="L551" s="35"/>
      <c r="M551" s="30">
        <v>3.0</v>
      </c>
      <c r="N551" s="30" t="s">
        <v>220</v>
      </c>
      <c r="O551" s="30" t="s">
        <v>194</v>
      </c>
      <c r="P551" s="30">
        <v>160.0</v>
      </c>
      <c r="Q551" s="30" t="s">
        <v>221</v>
      </c>
      <c r="R551" s="30" t="s">
        <v>222</v>
      </c>
      <c r="S551" s="30" t="s">
        <v>197</v>
      </c>
      <c r="T551" s="30" t="s">
        <v>1752</v>
      </c>
      <c r="U551" s="30">
        <v>2.0143635E7</v>
      </c>
    </row>
    <row r="552">
      <c r="A552" s="30">
        <v>51.42037</v>
      </c>
      <c r="B552" s="30">
        <v>25.145647</v>
      </c>
      <c r="C552" s="30" t="str">
        <f t="shared" si="1"/>
        <v>51.42037 25.145647</v>
      </c>
      <c r="D552" s="30">
        <v>81.0</v>
      </c>
      <c r="E552" s="39" t="s">
        <v>1753</v>
      </c>
      <c r="F552" s="40" t="s">
        <v>201</v>
      </c>
      <c r="G552" s="41" t="s">
        <v>190</v>
      </c>
      <c r="H552" s="42">
        <v>46087.0</v>
      </c>
      <c r="I552" s="41">
        <v>1390496.0</v>
      </c>
      <c r="J552" s="30" t="s">
        <v>201</v>
      </c>
      <c r="K552" s="43" t="s">
        <v>202</v>
      </c>
      <c r="L552" s="41" t="s">
        <v>195</v>
      </c>
      <c r="M552" s="41">
        <v>3.0</v>
      </c>
      <c r="N552" s="41" t="s">
        <v>193</v>
      </c>
      <c r="O552" s="30" t="s">
        <v>194</v>
      </c>
      <c r="P552" s="30">
        <v>160.0</v>
      </c>
      <c r="Q552" s="30" t="s">
        <v>221</v>
      </c>
      <c r="R552" s="30" t="s">
        <v>196</v>
      </c>
      <c r="S552" s="30" t="s">
        <v>197</v>
      </c>
      <c r="T552" s="30" t="s">
        <v>1754</v>
      </c>
      <c r="U552" s="30">
        <v>2.0143636E7</v>
      </c>
    </row>
    <row r="553">
      <c r="A553" s="30">
        <v>51.422356</v>
      </c>
      <c r="B553" s="30">
        <v>25.143479</v>
      </c>
      <c r="C553" s="30" t="str">
        <f t="shared" si="1"/>
        <v>51.422356 25.143479</v>
      </c>
      <c r="D553" s="30">
        <v>91.0</v>
      </c>
      <c r="E553" s="36" t="s">
        <v>1755</v>
      </c>
      <c r="F553" s="40" t="s">
        <v>201</v>
      </c>
      <c r="G553" s="30" t="s">
        <v>190</v>
      </c>
      <c r="H553" s="33">
        <v>46072.0</v>
      </c>
      <c r="I553" s="30">
        <v>1390960.0</v>
      </c>
      <c r="J553" s="30" t="s">
        <v>201</v>
      </c>
      <c r="K553" s="37" t="s">
        <v>202</v>
      </c>
      <c r="L553" s="30" t="s">
        <v>221</v>
      </c>
      <c r="M553" s="30">
        <v>3.0</v>
      </c>
      <c r="N553" s="30" t="s">
        <v>193</v>
      </c>
      <c r="O553" s="30" t="s">
        <v>194</v>
      </c>
      <c r="P553" s="30">
        <v>160.0</v>
      </c>
      <c r="Q553" s="30" t="s">
        <v>221</v>
      </c>
      <c r="R553" s="30" t="s">
        <v>196</v>
      </c>
      <c r="S553" s="30" t="s">
        <v>197</v>
      </c>
      <c r="T553" s="30" t="s">
        <v>1756</v>
      </c>
      <c r="U553" s="30">
        <v>2.0143637E7</v>
      </c>
    </row>
    <row r="554">
      <c r="A554" s="30">
        <v>51.437115</v>
      </c>
      <c r="B554" s="30">
        <v>25.153073</v>
      </c>
      <c r="C554" s="30" t="str">
        <f t="shared" si="1"/>
        <v>51.437115 25.153073</v>
      </c>
      <c r="D554" s="30">
        <v>57.0</v>
      </c>
      <c r="E554" s="36" t="s">
        <v>1757</v>
      </c>
      <c r="F554" s="32" t="s">
        <v>1758</v>
      </c>
      <c r="G554" s="30" t="s">
        <v>190</v>
      </c>
      <c r="H554" s="33">
        <v>46090.0</v>
      </c>
      <c r="I554" s="30">
        <v>1390963.0</v>
      </c>
      <c r="J554" s="30" t="s">
        <v>1759</v>
      </c>
      <c r="K554" s="34" t="s">
        <v>272</v>
      </c>
      <c r="L554" s="30" t="s">
        <v>1760</v>
      </c>
      <c r="M554" s="30">
        <v>3.0</v>
      </c>
      <c r="N554" s="30" t="s">
        <v>216</v>
      </c>
      <c r="O554" s="30" t="s">
        <v>194</v>
      </c>
      <c r="P554" s="30">
        <v>160.0</v>
      </c>
      <c r="Q554" s="30" t="s">
        <v>221</v>
      </c>
      <c r="R554" s="30" t="s">
        <v>222</v>
      </c>
      <c r="S554" s="30" t="s">
        <v>197</v>
      </c>
      <c r="T554" s="30" t="s">
        <v>1761</v>
      </c>
      <c r="U554" s="30">
        <v>2.0143638E7</v>
      </c>
    </row>
    <row r="555">
      <c r="A555" s="30">
        <v>51.445366</v>
      </c>
      <c r="B555" s="30">
        <v>25.156168</v>
      </c>
      <c r="C555" s="30" t="str">
        <f t="shared" si="1"/>
        <v>51.445366 25.156168</v>
      </c>
      <c r="D555" s="30">
        <v>57.0</v>
      </c>
      <c r="E555" s="36" t="s">
        <v>1762</v>
      </c>
      <c r="F555" s="32" t="s">
        <v>679</v>
      </c>
      <c r="G555" s="30" t="s">
        <v>190</v>
      </c>
      <c r="H555" s="33">
        <v>46098.0</v>
      </c>
      <c r="I555" s="30">
        <v>1391195.0</v>
      </c>
      <c r="J555" s="30" t="s">
        <v>1512</v>
      </c>
      <c r="K555" s="37" t="s">
        <v>202</v>
      </c>
      <c r="L555" s="30" t="s">
        <v>1760</v>
      </c>
      <c r="M555" s="30">
        <v>3.0</v>
      </c>
      <c r="N555" s="30" t="s">
        <v>216</v>
      </c>
      <c r="O555" s="30" t="s">
        <v>194</v>
      </c>
      <c r="P555" s="30">
        <v>160.0</v>
      </c>
      <c r="Q555" s="30" t="s">
        <v>221</v>
      </c>
      <c r="R555" s="30" t="s">
        <v>222</v>
      </c>
      <c r="S555" s="30" t="s">
        <v>197</v>
      </c>
      <c r="T555" s="30" t="s">
        <v>1763</v>
      </c>
      <c r="U555" s="30">
        <v>2.0143639E7</v>
      </c>
    </row>
    <row r="556">
      <c r="A556" s="30">
        <v>51.441055</v>
      </c>
      <c r="B556" s="30">
        <v>25.158775</v>
      </c>
      <c r="C556" s="30" t="str">
        <f t="shared" si="1"/>
        <v>51.441055 25.158775</v>
      </c>
      <c r="D556" s="30">
        <v>57.0</v>
      </c>
      <c r="E556" s="36" t="s">
        <v>1215</v>
      </c>
      <c r="F556" s="30" t="s">
        <v>1758</v>
      </c>
      <c r="G556" s="30" t="s">
        <v>190</v>
      </c>
      <c r="H556" s="33">
        <v>46090.0</v>
      </c>
      <c r="I556" s="30">
        <v>1391194.0</v>
      </c>
      <c r="J556" s="30" t="s">
        <v>1764</v>
      </c>
      <c r="K556" s="34" t="s">
        <v>272</v>
      </c>
      <c r="L556" s="30" t="s">
        <v>1760</v>
      </c>
      <c r="M556" s="30">
        <v>3.0</v>
      </c>
      <c r="N556" s="30" t="s">
        <v>216</v>
      </c>
      <c r="O556" s="30" t="s">
        <v>194</v>
      </c>
      <c r="P556" s="30">
        <v>160.0</v>
      </c>
      <c r="Q556" s="30" t="s">
        <v>221</v>
      </c>
      <c r="R556" s="30" t="s">
        <v>222</v>
      </c>
      <c r="S556" s="30" t="s">
        <v>197</v>
      </c>
      <c r="T556" s="30" t="s">
        <v>1765</v>
      </c>
      <c r="U556" s="30">
        <v>2.014364E7</v>
      </c>
    </row>
    <row r="557">
      <c r="A557" s="30">
        <v>51.414004</v>
      </c>
      <c r="B557" s="30">
        <v>25.142971</v>
      </c>
      <c r="C557" s="30" t="str">
        <f t="shared" si="1"/>
        <v>51.414004 25.142971</v>
      </c>
      <c r="D557" s="30">
        <v>81.0</v>
      </c>
      <c r="E557" s="36" t="s">
        <v>232</v>
      </c>
      <c r="F557" s="40" t="s">
        <v>201</v>
      </c>
      <c r="G557" s="30" t="s">
        <v>190</v>
      </c>
      <c r="H557" s="33">
        <v>46097.0</v>
      </c>
      <c r="I557" s="30">
        <v>1390495.0</v>
      </c>
      <c r="J557" s="30" t="s">
        <v>201</v>
      </c>
      <c r="K557" s="37" t="s">
        <v>202</v>
      </c>
      <c r="L557" s="35"/>
      <c r="M557" s="30">
        <v>3.0</v>
      </c>
      <c r="N557" s="30" t="s">
        <v>220</v>
      </c>
      <c r="O557" s="30" t="s">
        <v>194</v>
      </c>
      <c r="P557" s="30">
        <v>160.0</v>
      </c>
      <c r="Q557" s="30" t="s">
        <v>195</v>
      </c>
      <c r="R557" s="30" t="s">
        <v>196</v>
      </c>
      <c r="S557" s="30" t="s">
        <v>197</v>
      </c>
      <c r="T557" s="30" t="s">
        <v>1766</v>
      </c>
      <c r="U557" s="30">
        <v>2.0143641E7</v>
      </c>
    </row>
    <row r="558">
      <c r="A558" s="30">
        <v>51.45853</v>
      </c>
      <c r="B558" s="30">
        <v>25.159758</v>
      </c>
      <c r="C558" s="30" t="str">
        <f t="shared" si="1"/>
        <v>51.45853 25.159758</v>
      </c>
      <c r="D558" s="30">
        <v>91.0</v>
      </c>
      <c r="E558" s="36" t="s">
        <v>1767</v>
      </c>
      <c r="F558" s="32" t="s">
        <v>1768</v>
      </c>
      <c r="G558" s="30" t="s">
        <v>190</v>
      </c>
      <c r="H558" s="33">
        <v>46090.0</v>
      </c>
      <c r="I558" s="30">
        <v>1391198.0</v>
      </c>
      <c r="J558" s="30" t="s">
        <v>1769</v>
      </c>
      <c r="K558" s="37" t="s">
        <v>202</v>
      </c>
      <c r="L558" s="30" t="s">
        <v>221</v>
      </c>
      <c r="M558" s="30">
        <v>3.0</v>
      </c>
      <c r="N558" s="30" t="s">
        <v>193</v>
      </c>
      <c r="O558" s="30" t="s">
        <v>194</v>
      </c>
      <c r="P558" s="30">
        <v>160.0</v>
      </c>
      <c r="Q558" s="30" t="s">
        <v>221</v>
      </c>
      <c r="R558" s="30" t="s">
        <v>222</v>
      </c>
      <c r="S558" s="30" t="s">
        <v>197</v>
      </c>
      <c r="T558" s="30" t="s">
        <v>1770</v>
      </c>
      <c r="U558" s="30">
        <v>2.0143642E7</v>
      </c>
    </row>
    <row r="559">
      <c r="A559" s="30">
        <v>51.47201</v>
      </c>
      <c r="B559" s="30">
        <v>25.160433</v>
      </c>
      <c r="C559" s="30" t="str">
        <f t="shared" si="1"/>
        <v>51.47201 25.160433</v>
      </c>
      <c r="D559" s="30">
        <v>91.0</v>
      </c>
      <c r="E559" s="36" t="s">
        <v>1381</v>
      </c>
      <c r="F559" s="32" t="s">
        <v>1388</v>
      </c>
      <c r="G559" s="30" t="s">
        <v>190</v>
      </c>
      <c r="H559" s="33">
        <v>46097.0</v>
      </c>
      <c r="I559" s="30">
        <v>1391309.0</v>
      </c>
      <c r="J559" s="30" t="s">
        <v>201</v>
      </c>
      <c r="K559" s="37" t="s">
        <v>202</v>
      </c>
      <c r="L559" s="35"/>
      <c r="M559" s="30">
        <v>3.0</v>
      </c>
      <c r="N559" s="30" t="s">
        <v>220</v>
      </c>
      <c r="O559" s="30" t="s">
        <v>194</v>
      </c>
      <c r="P559" s="30">
        <v>160.0</v>
      </c>
      <c r="Q559" s="30" t="s">
        <v>195</v>
      </c>
      <c r="R559" s="30" t="s">
        <v>196</v>
      </c>
      <c r="S559" s="30" t="s">
        <v>197</v>
      </c>
      <c r="T559" s="30" t="s">
        <v>1771</v>
      </c>
      <c r="U559" s="30">
        <v>2.0143643E7</v>
      </c>
    </row>
    <row r="560">
      <c r="A560" s="30">
        <v>51.47096</v>
      </c>
      <c r="B560" s="30">
        <v>25.167754</v>
      </c>
      <c r="C560" s="30" t="str">
        <f t="shared" si="1"/>
        <v>51.47096 25.167754</v>
      </c>
      <c r="D560" s="30">
        <v>57.0</v>
      </c>
      <c r="E560" s="36" t="s">
        <v>1772</v>
      </c>
      <c r="F560" s="32" t="s">
        <v>201</v>
      </c>
      <c r="G560" s="30" t="s">
        <v>190</v>
      </c>
      <c r="H560" s="33">
        <v>46098.0</v>
      </c>
      <c r="I560" s="30">
        <v>1390986.0</v>
      </c>
      <c r="J560" s="30" t="s">
        <v>201</v>
      </c>
      <c r="K560" s="34" t="s">
        <v>272</v>
      </c>
      <c r="L560" s="35"/>
      <c r="M560" s="30">
        <v>3.0</v>
      </c>
      <c r="N560" s="30" t="s">
        <v>262</v>
      </c>
      <c r="O560" s="30" t="s">
        <v>194</v>
      </c>
      <c r="P560" s="30">
        <v>160.0</v>
      </c>
      <c r="Q560" s="30" t="s">
        <v>446</v>
      </c>
      <c r="R560" s="30" t="s">
        <v>196</v>
      </c>
      <c r="S560" s="30" t="s">
        <v>197</v>
      </c>
      <c r="T560" s="30" t="s">
        <v>1773</v>
      </c>
      <c r="U560" s="30">
        <v>2.0143644E7</v>
      </c>
    </row>
    <row r="561">
      <c r="A561" s="30">
        <v>51.469688</v>
      </c>
      <c r="B561" s="30">
        <v>25.170401</v>
      </c>
      <c r="C561" s="30" t="str">
        <f t="shared" si="1"/>
        <v>51.469688 25.170401</v>
      </c>
      <c r="D561" s="30">
        <v>57.0</v>
      </c>
      <c r="E561" s="36" t="s">
        <v>1774</v>
      </c>
      <c r="F561" s="32" t="s">
        <v>201</v>
      </c>
      <c r="G561" s="30" t="s">
        <v>303</v>
      </c>
      <c r="H561" s="33">
        <v>46098.0</v>
      </c>
      <c r="I561" s="30" t="s">
        <v>201</v>
      </c>
      <c r="J561" s="30" t="s">
        <v>1775</v>
      </c>
      <c r="K561" s="34" t="s">
        <v>201</v>
      </c>
      <c r="L561" s="35"/>
      <c r="M561" s="30">
        <v>4.0</v>
      </c>
      <c r="N561" s="30" t="s">
        <v>262</v>
      </c>
      <c r="O561" s="30" t="s">
        <v>194</v>
      </c>
      <c r="P561" s="30">
        <v>160.0</v>
      </c>
      <c r="Q561" s="30" t="s">
        <v>221</v>
      </c>
      <c r="R561" s="30" t="s">
        <v>222</v>
      </c>
      <c r="S561" s="30" t="s">
        <v>197</v>
      </c>
      <c r="T561" s="30" t="s">
        <v>1776</v>
      </c>
      <c r="U561" s="30">
        <v>2.0143645E7</v>
      </c>
    </row>
    <row r="562">
      <c r="A562" s="30">
        <v>51.486731</v>
      </c>
      <c r="B562" s="30">
        <v>25.172689</v>
      </c>
      <c r="C562" s="30" t="str">
        <f t="shared" si="1"/>
        <v>51.486731 25.172689</v>
      </c>
      <c r="D562" s="30">
        <v>56.0</v>
      </c>
      <c r="E562" s="36" t="s">
        <v>212</v>
      </c>
      <c r="F562" s="32" t="s">
        <v>643</v>
      </c>
      <c r="G562" s="30" t="s">
        <v>190</v>
      </c>
      <c r="H562" s="33">
        <v>46100.0</v>
      </c>
      <c r="I562" s="30">
        <v>1376715.0</v>
      </c>
      <c r="J562" s="30" t="s">
        <v>1777</v>
      </c>
      <c r="K562" s="34" t="s">
        <v>202</v>
      </c>
      <c r="L562" s="35"/>
      <c r="M562" s="30">
        <v>3.0</v>
      </c>
      <c r="N562" s="30" t="s">
        <v>356</v>
      </c>
      <c r="O562" s="30" t="s">
        <v>194</v>
      </c>
      <c r="P562" s="30">
        <v>160.0</v>
      </c>
      <c r="Q562" s="30" t="s">
        <v>195</v>
      </c>
      <c r="R562" s="30" t="s">
        <v>196</v>
      </c>
      <c r="S562" s="30" t="s">
        <v>197</v>
      </c>
      <c r="T562" s="30" t="s">
        <v>1778</v>
      </c>
      <c r="U562" s="30">
        <v>2.0143646E7</v>
      </c>
    </row>
    <row r="563">
      <c r="A563" s="30">
        <v>51.489402</v>
      </c>
      <c r="B563" s="30">
        <v>25.171428</v>
      </c>
      <c r="C563" s="30" t="str">
        <f t="shared" si="1"/>
        <v>51.489402 25.171428</v>
      </c>
      <c r="D563" s="30">
        <v>91.0</v>
      </c>
      <c r="E563" s="39" t="s">
        <v>542</v>
      </c>
      <c r="F563" s="40" t="s">
        <v>1779</v>
      </c>
      <c r="G563" s="30" t="s">
        <v>190</v>
      </c>
      <c r="H563" s="33">
        <v>46090.0</v>
      </c>
      <c r="I563" s="41">
        <v>1390959.0</v>
      </c>
      <c r="J563" s="41" t="s">
        <v>1769</v>
      </c>
      <c r="K563" s="37" t="s">
        <v>202</v>
      </c>
      <c r="L563" s="41" t="s">
        <v>195</v>
      </c>
      <c r="M563" s="41">
        <v>3.0</v>
      </c>
      <c r="N563" s="41" t="s">
        <v>193</v>
      </c>
      <c r="O563" s="30" t="s">
        <v>194</v>
      </c>
      <c r="P563" s="30">
        <v>160.0</v>
      </c>
      <c r="Q563" s="30" t="s">
        <v>195</v>
      </c>
      <c r="R563" s="30" t="s">
        <v>196</v>
      </c>
      <c r="S563" s="30" t="s">
        <v>197</v>
      </c>
      <c r="T563" s="30" t="s">
        <v>1780</v>
      </c>
      <c r="U563" s="30">
        <v>2.0143647E7</v>
      </c>
    </row>
    <row r="564">
      <c r="A564" s="30">
        <v>51.493338</v>
      </c>
      <c r="B564" s="30">
        <v>25.17356</v>
      </c>
      <c r="C564" s="30" t="str">
        <f t="shared" si="1"/>
        <v>51.493338 25.17356</v>
      </c>
      <c r="D564" s="30">
        <v>91.0</v>
      </c>
      <c r="E564" s="39" t="s">
        <v>284</v>
      </c>
      <c r="F564" s="40" t="s">
        <v>285</v>
      </c>
      <c r="G564" s="30" t="s">
        <v>190</v>
      </c>
      <c r="H564" s="42">
        <v>46083.0</v>
      </c>
      <c r="I564" s="41">
        <v>1390957.0</v>
      </c>
      <c r="J564" s="30" t="s">
        <v>201</v>
      </c>
      <c r="K564" s="37" t="s">
        <v>202</v>
      </c>
      <c r="L564" s="41" t="s">
        <v>195</v>
      </c>
      <c r="M564" s="41">
        <v>3.0</v>
      </c>
      <c r="N564" s="41" t="s">
        <v>193</v>
      </c>
      <c r="O564" s="30" t="s">
        <v>194</v>
      </c>
      <c r="P564" s="30">
        <v>160.0</v>
      </c>
      <c r="Q564" s="30" t="s">
        <v>195</v>
      </c>
      <c r="R564" s="30" t="s">
        <v>196</v>
      </c>
      <c r="S564" s="30" t="s">
        <v>197</v>
      </c>
      <c r="T564" s="30" t="s">
        <v>1781</v>
      </c>
      <c r="U564" s="30">
        <v>2.0143648E7</v>
      </c>
    </row>
    <row r="565">
      <c r="A565" s="30">
        <v>51.499525</v>
      </c>
      <c r="B565" s="30">
        <v>25.177911</v>
      </c>
      <c r="C565" s="30" t="str">
        <f t="shared" si="1"/>
        <v>51.499525 25.177911</v>
      </c>
      <c r="D565" s="30">
        <v>91.0</v>
      </c>
      <c r="E565" s="39" t="s">
        <v>1782</v>
      </c>
      <c r="F565" s="40" t="s">
        <v>201</v>
      </c>
      <c r="G565" s="30" t="s">
        <v>190</v>
      </c>
      <c r="H565" s="42">
        <v>46077.0</v>
      </c>
      <c r="I565" s="41">
        <v>1390955.0</v>
      </c>
      <c r="J565" s="41" t="s">
        <v>1769</v>
      </c>
      <c r="K565" s="37" t="s">
        <v>202</v>
      </c>
      <c r="L565" s="41" t="s">
        <v>195</v>
      </c>
      <c r="M565" s="41">
        <v>3.0</v>
      </c>
      <c r="N565" s="30" t="s">
        <v>193</v>
      </c>
      <c r="O565" s="30" t="s">
        <v>194</v>
      </c>
      <c r="P565" s="30">
        <v>160.0</v>
      </c>
      <c r="Q565" s="30" t="s">
        <v>195</v>
      </c>
      <c r="R565" s="30" t="s">
        <v>196</v>
      </c>
      <c r="S565" s="30" t="s">
        <v>197</v>
      </c>
      <c r="T565" s="30" t="s">
        <v>1783</v>
      </c>
      <c r="U565" s="30">
        <v>2.0143649E7</v>
      </c>
    </row>
    <row r="566">
      <c r="A566" s="30">
        <v>51.583251</v>
      </c>
      <c r="B566" s="30">
        <v>25.235693</v>
      </c>
      <c r="C566" s="30" t="str">
        <f t="shared" si="1"/>
        <v>51.583251 25.235693</v>
      </c>
      <c r="D566" s="30">
        <v>48.0</v>
      </c>
      <c r="E566" s="39" t="s">
        <v>1784</v>
      </c>
      <c r="F566" s="40" t="s">
        <v>201</v>
      </c>
      <c r="G566" s="30" t="s">
        <v>190</v>
      </c>
      <c r="H566" s="42">
        <v>46075.0</v>
      </c>
      <c r="I566" s="41">
        <v>1392809.0</v>
      </c>
      <c r="J566" s="30" t="s">
        <v>201</v>
      </c>
      <c r="K566" s="37" t="s">
        <v>296</v>
      </c>
      <c r="L566" s="41" t="s">
        <v>221</v>
      </c>
      <c r="M566" s="41">
        <v>3.0</v>
      </c>
      <c r="N566" s="41" t="s">
        <v>220</v>
      </c>
      <c r="O566" s="30" t="s">
        <v>452</v>
      </c>
      <c r="P566" s="30">
        <v>160.0</v>
      </c>
      <c r="Q566" s="30" t="s">
        <v>195</v>
      </c>
      <c r="R566" s="30" t="s">
        <v>196</v>
      </c>
      <c r="S566" s="30" t="s">
        <v>197</v>
      </c>
      <c r="T566" s="30" t="s">
        <v>1785</v>
      </c>
      <c r="U566" s="30">
        <v>2.0266976E7</v>
      </c>
    </row>
    <row r="567">
      <c r="A567" s="30">
        <v>51.580435</v>
      </c>
      <c r="B567" s="30">
        <v>25.232934</v>
      </c>
      <c r="C567" s="30" t="str">
        <f t="shared" si="1"/>
        <v>51.580435 25.232934</v>
      </c>
      <c r="D567" s="35"/>
      <c r="E567" s="39" t="s">
        <v>679</v>
      </c>
      <c r="F567" s="40" t="s">
        <v>1786</v>
      </c>
      <c r="G567" s="30" t="s">
        <v>190</v>
      </c>
      <c r="H567" s="42">
        <v>46086.0</v>
      </c>
      <c r="I567" s="41" t="s">
        <v>201</v>
      </c>
      <c r="J567" s="37" t="s">
        <v>1787</v>
      </c>
      <c r="K567" s="37" t="s">
        <v>202</v>
      </c>
      <c r="L567" s="41" t="s">
        <v>195</v>
      </c>
      <c r="M567" s="41">
        <v>3.0</v>
      </c>
      <c r="N567" s="30" t="s">
        <v>220</v>
      </c>
      <c r="O567" s="30" t="s">
        <v>194</v>
      </c>
      <c r="P567" s="30">
        <v>160.0</v>
      </c>
      <c r="Q567" s="30" t="s">
        <v>195</v>
      </c>
      <c r="R567" s="30" t="s">
        <v>196</v>
      </c>
      <c r="S567" s="30" t="s">
        <v>197</v>
      </c>
      <c r="T567" s="30" t="s">
        <v>1788</v>
      </c>
      <c r="U567" s="30">
        <v>2.0266971E7</v>
      </c>
    </row>
    <row r="568">
      <c r="A568" s="30">
        <v>51.575405</v>
      </c>
      <c r="B568" s="30">
        <v>25.231697</v>
      </c>
      <c r="C568" s="30" t="str">
        <f t="shared" si="1"/>
        <v>51.575405 25.231697</v>
      </c>
      <c r="D568" s="30">
        <v>48.0</v>
      </c>
      <c r="E568" s="39" t="s">
        <v>1789</v>
      </c>
      <c r="F568" s="40" t="s">
        <v>201</v>
      </c>
      <c r="G568" s="30" t="s">
        <v>190</v>
      </c>
      <c r="H568" s="42">
        <v>46081.0</v>
      </c>
      <c r="I568" s="41">
        <v>1392803.0</v>
      </c>
      <c r="J568" s="41" t="s">
        <v>1653</v>
      </c>
      <c r="K568" s="37" t="s">
        <v>296</v>
      </c>
      <c r="L568" s="41" t="s">
        <v>221</v>
      </c>
      <c r="M568" s="41">
        <v>3.0</v>
      </c>
      <c r="N568" s="30" t="s">
        <v>220</v>
      </c>
      <c r="O568" s="30" t="s">
        <v>194</v>
      </c>
      <c r="P568" s="30">
        <v>160.0</v>
      </c>
      <c r="Q568" s="30" t="s">
        <v>221</v>
      </c>
      <c r="R568" s="30" t="s">
        <v>196</v>
      </c>
      <c r="S568" s="30" t="s">
        <v>197</v>
      </c>
      <c r="T568" s="30" t="s">
        <v>1790</v>
      </c>
      <c r="U568" s="30">
        <v>2.0266973E7</v>
      </c>
    </row>
    <row r="569">
      <c r="A569" s="30">
        <v>51.576662</v>
      </c>
      <c r="B569" s="30">
        <v>25.230761</v>
      </c>
      <c r="C569" s="30" t="str">
        <f t="shared" si="1"/>
        <v>51.576662 25.230761</v>
      </c>
      <c r="D569" s="30">
        <v>49.0</v>
      </c>
      <c r="E569" s="39" t="s">
        <v>509</v>
      </c>
      <c r="F569" s="40" t="s">
        <v>1791</v>
      </c>
      <c r="G569" s="30" t="s">
        <v>190</v>
      </c>
      <c r="H569" s="42">
        <v>46081.0</v>
      </c>
      <c r="I569" s="41">
        <v>1181359.0</v>
      </c>
      <c r="J569" s="37" t="s">
        <v>1792</v>
      </c>
      <c r="K569" s="37" t="s">
        <v>202</v>
      </c>
      <c r="L569" s="41" t="s">
        <v>195</v>
      </c>
      <c r="M569" s="41">
        <v>3.0</v>
      </c>
      <c r="N569" s="30" t="s">
        <v>220</v>
      </c>
      <c r="O569" s="30" t="s">
        <v>194</v>
      </c>
      <c r="P569" s="30">
        <v>160.0</v>
      </c>
      <c r="Q569" s="30" t="s">
        <v>195</v>
      </c>
      <c r="R569" s="30" t="s">
        <v>196</v>
      </c>
      <c r="S569" s="30" t="s">
        <v>197</v>
      </c>
      <c r="T569" s="30" t="s">
        <v>1793</v>
      </c>
      <c r="U569" s="30">
        <v>2.0266978E7</v>
      </c>
    </row>
    <row r="570">
      <c r="A570" s="30">
        <v>51.561171</v>
      </c>
      <c r="B570" s="30">
        <v>25.229306</v>
      </c>
      <c r="C570" s="30" t="str">
        <f t="shared" si="1"/>
        <v>51.561171 25.229306</v>
      </c>
      <c r="D570" s="30">
        <v>47.0</v>
      </c>
      <c r="E570" s="39" t="s">
        <v>1691</v>
      </c>
      <c r="F570" s="40" t="s">
        <v>201</v>
      </c>
      <c r="G570" s="30" t="s">
        <v>190</v>
      </c>
      <c r="H570" s="42">
        <v>46081.0</v>
      </c>
      <c r="I570" s="41">
        <v>1392810.0</v>
      </c>
      <c r="J570" s="30" t="s">
        <v>201</v>
      </c>
      <c r="K570" s="37" t="s">
        <v>202</v>
      </c>
      <c r="L570" s="41" t="s">
        <v>221</v>
      </c>
      <c r="M570" s="41">
        <v>3.0</v>
      </c>
      <c r="N570" s="30" t="s">
        <v>220</v>
      </c>
      <c r="O570" s="30" t="s">
        <v>194</v>
      </c>
      <c r="P570" s="30">
        <v>160.0</v>
      </c>
      <c r="Q570" s="30" t="s">
        <v>221</v>
      </c>
      <c r="R570" s="30" t="s">
        <v>196</v>
      </c>
      <c r="S570" s="30" t="s">
        <v>197</v>
      </c>
      <c r="T570" s="30" t="s">
        <v>1794</v>
      </c>
      <c r="U570" s="30">
        <v>2.0266972E7</v>
      </c>
    </row>
    <row r="571">
      <c r="A571" s="30">
        <v>51.556345</v>
      </c>
      <c r="B571" s="30">
        <v>25.227163</v>
      </c>
      <c r="C571" s="30" t="str">
        <f t="shared" si="1"/>
        <v>51.556345 25.227163</v>
      </c>
      <c r="D571" s="30">
        <v>46.0</v>
      </c>
      <c r="E571" s="36" t="s">
        <v>554</v>
      </c>
      <c r="F571" s="32" t="s">
        <v>201</v>
      </c>
      <c r="G571" s="30" t="s">
        <v>190</v>
      </c>
      <c r="H571" s="33">
        <v>46107.0</v>
      </c>
      <c r="I571" s="30" t="s">
        <v>201</v>
      </c>
      <c r="J571" s="30" t="s">
        <v>201</v>
      </c>
      <c r="K571" s="34" t="s">
        <v>252</v>
      </c>
      <c r="L571" s="35"/>
      <c r="M571" s="30">
        <v>3.0</v>
      </c>
      <c r="N571" s="57" t="s">
        <v>356</v>
      </c>
      <c r="O571" s="30" t="s">
        <v>194</v>
      </c>
      <c r="P571" s="30">
        <v>160.0</v>
      </c>
      <c r="Q571" s="30" t="s">
        <v>195</v>
      </c>
      <c r="R571" s="30" t="s">
        <v>196</v>
      </c>
      <c r="S571" s="30" t="s">
        <v>197</v>
      </c>
      <c r="T571" s="30" t="s">
        <v>1795</v>
      </c>
      <c r="U571" s="30">
        <v>2.0266969E7</v>
      </c>
    </row>
    <row r="572">
      <c r="A572" s="30">
        <v>51.552064</v>
      </c>
      <c r="B572" s="30">
        <v>25.226294</v>
      </c>
      <c r="C572" s="30" t="str">
        <f t="shared" si="1"/>
        <v>51.552064 25.226294</v>
      </c>
      <c r="D572" s="30">
        <v>46.0</v>
      </c>
      <c r="E572" s="36" t="s">
        <v>1796</v>
      </c>
      <c r="F572" s="30" t="s">
        <v>1797</v>
      </c>
      <c r="G572" s="30" t="s">
        <v>190</v>
      </c>
      <c r="H572" s="42">
        <v>46081.0</v>
      </c>
      <c r="I572" s="30">
        <v>1392791.0</v>
      </c>
      <c r="J572" s="30" t="s">
        <v>1577</v>
      </c>
      <c r="K572" s="37" t="s">
        <v>202</v>
      </c>
      <c r="L572" s="30" t="s">
        <v>221</v>
      </c>
      <c r="M572" s="30">
        <v>3.0</v>
      </c>
      <c r="N572" s="30" t="s">
        <v>216</v>
      </c>
      <c r="O572" s="30" t="s">
        <v>194</v>
      </c>
      <c r="P572" s="30">
        <v>160.0</v>
      </c>
      <c r="Q572" s="30" t="s">
        <v>221</v>
      </c>
      <c r="R572" s="30" t="s">
        <v>196</v>
      </c>
      <c r="S572" s="30" t="s">
        <v>197</v>
      </c>
      <c r="T572" s="30" t="s">
        <v>1798</v>
      </c>
      <c r="U572" s="30">
        <v>2.0266977E7</v>
      </c>
    </row>
    <row r="573">
      <c r="A573" s="30">
        <v>51.551583</v>
      </c>
      <c r="B573" s="30">
        <v>25.225891</v>
      </c>
      <c r="C573" s="30" t="str">
        <f t="shared" si="1"/>
        <v>51.551583 25.225891</v>
      </c>
      <c r="D573" s="30">
        <v>46.0</v>
      </c>
      <c r="E573" s="36" t="s">
        <v>737</v>
      </c>
      <c r="F573" s="40" t="s">
        <v>201</v>
      </c>
      <c r="G573" s="30" t="s">
        <v>190</v>
      </c>
      <c r="H573" s="33">
        <v>46107.0</v>
      </c>
      <c r="I573" s="30">
        <v>1392792.0</v>
      </c>
      <c r="J573" s="30" t="s">
        <v>201</v>
      </c>
      <c r="K573" s="34" t="s">
        <v>252</v>
      </c>
      <c r="L573" s="35"/>
      <c r="M573" s="30">
        <v>3.0</v>
      </c>
      <c r="N573" s="57" t="s">
        <v>356</v>
      </c>
      <c r="O573" s="30" t="s">
        <v>194</v>
      </c>
      <c r="P573" s="30">
        <v>160.0</v>
      </c>
      <c r="Q573" s="30" t="s">
        <v>195</v>
      </c>
      <c r="R573" s="30" t="s">
        <v>196</v>
      </c>
      <c r="S573" s="30" t="s">
        <v>197</v>
      </c>
      <c r="T573" s="30" t="s">
        <v>1799</v>
      </c>
      <c r="U573" s="30">
        <v>2.0266974E7</v>
      </c>
    </row>
    <row r="574">
      <c r="A574" s="30">
        <v>51.546314</v>
      </c>
      <c r="B574" s="30">
        <v>25.224509</v>
      </c>
      <c r="C574" s="30" t="str">
        <f t="shared" si="1"/>
        <v>51.546314 25.224509</v>
      </c>
      <c r="D574" s="30">
        <v>46.0</v>
      </c>
      <c r="E574" s="36" t="s">
        <v>1800</v>
      </c>
      <c r="F574" s="40" t="s">
        <v>201</v>
      </c>
      <c r="G574" s="30" t="s">
        <v>303</v>
      </c>
      <c r="H574" s="55">
        <v>46081.0</v>
      </c>
      <c r="I574" s="30">
        <v>1392788.0</v>
      </c>
      <c r="J574" s="30" t="s">
        <v>1801</v>
      </c>
      <c r="K574" s="43" t="s">
        <v>202</v>
      </c>
      <c r="L574" s="34" t="s">
        <v>195</v>
      </c>
      <c r="M574" s="30">
        <v>3.0</v>
      </c>
      <c r="N574" s="30" t="s">
        <v>356</v>
      </c>
      <c r="O574" s="30" t="s">
        <v>194</v>
      </c>
      <c r="P574" s="30">
        <v>160.0</v>
      </c>
      <c r="Q574" s="30" t="s">
        <v>221</v>
      </c>
      <c r="R574" s="30" t="s">
        <v>196</v>
      </c>
      <c r="S574" s="30" t="s">
        <v>197</v>
      </c>
      <c r="T574" s="30" t="s">
        <v>1802</v>
      </c>
      <c r="U574" s="30">
        <v>2.026697E7</v>
      </c>
    </row>
    <row r="575">
      <c r="A575" s="30">
        <v>51.542996</v>
      </c>
      <c r="B575" s="30">
        <v>25.223937</v>
      </c>
      <c r="C575" s="30" t="str">
        <f t="shared" si="1"/>
        <v>51.542996 25.223937</v>
      </c>
      <c r="D575" s="30">
        <v>46.0</v>
      </c>
      <c r="E575" s="36" t="s">
        <v>582</v>
      </c>
      <c r="F575" s="40" t="s">
        <v>201</v>
      </c>
      <c r="G575" s="30" t="s">
        <v>303</v>
      </c>
      <c r="H575" s="55">
        <v>46081.0</v>
      </c>
      <c r="I575" s="30">
        <v>1392787.0</v>
      </c>
      <c r="J575" s="30" t="s">
        <v>1801</v>
      </c>
      <c r="K575" s="43" t="s">
        <v>202</v>
      </c>
      <c r="L575" s="34" t="s">
        <v>195</v>
      </c>
      <c r="M575" s="30">
        <v>3.0</v>
      </c>
      <c r="N575" s="30" t="s">
        <v>356</v>
      </c>
      <c r="O575" s="30" t="s">
        <v>194</v>
      </c>
      <c r="P575" s="30">
        <v>160.0</v>
      </c>
      <c r="Q575" s="30" t="s">
        <v>221</v>
      </c>
      <c r="R575" s="30" t="s">
        <v>196</v>
      </c>
      <c r="S575" s="30" t="s">
        <v>197</v>
      </c>
      <c r="T575" s="30" t="s">
        <v>1803</v>
      </c>
      <c r="U575" s="30">
        <v>2.0266975E7</v>
      </c>
    </row>
    <row r="576">
      <c r="A576" s="30">
        <v>51.435503</v>
      </c>
      <c r="B576" s="30">
        <v>25.221145</v>
      </c>
      <c r="C576" s="30" t="str">
        <f t="shared" si="1"/>
        <v>51.435503 25.221145</v>
      </c>
      <c r="D576" s="30">
        <v>56.0</v>
      </c>
      <c r="E576" s="36" t="s">
        <v>440</v>
      </c>
      <c r="F576" s="32" t="s">
        <v>441</v>
      </c>
      <c r="G576" s="30" t="s">
        <v>190</v>
      </c>
      <c r="H576" s="33">
        <v>46093.0</v>
      </c>
      <c r="I576" s="30" t="s">
        <v>1804</v>
      </c>
      <c r="J576" s="30" t="s">
        <v>1805</v>
      </c>
      <c r="K576" s="43" t="s">
        <v>202</v>
      </c>
      <c r="L576" s="34" t="s">
        <v>195</v>
      </c>
      <c r="M576" s="30">
        <v>4.0</v>
      </c>
      <c r="N576" s="30" t="s">
        <v>356</v>
      </c>
      <c r="O576" s="30" t="s">
        <v>194</v>
      </c>
      <c r="P576" s="30">
        <v>160.0</v>
      </c>
      <c r="Q576" s="30" t="s">
        <v>221</v>
      </c>
      <c r="R576" s="30" t="s">
        <v>222</v>
      </c>
      <c r="S576" s="30" t="s">
        <v>197</v>
      </c>
      <c r="T576" s="30" t="s">
        <v>1806</v>
      </c>
      <c r="U576" s="30">
        <v>2.1182246E7</v>
      </c>
    </row>
    <row r="577">
      <c r="A577" s="30">
        <v>51.432921</v>
      </c>
      <c r="B577" s="30">
        <v>25.225109</v>
      </c>
      <c r="C577" s="30" t="str">
        <f t="shared" si="1"/>
        <v>51.432921 25.225109</v>
      </c>
      <c r="D577" s="30">
        <v>56.0</v>
      </c>
      <c r="E577" s="36" t="s">
        <v>454</v>
      </c>
      <c r="F577" s="32" t="s">
        <v>1807</v>
      </c>
      <c r="G577" s="30" t="s">
        <v>190</v>
      </c>
      <c r="H577" s="33">
        <v>46093.0</v>
      </c>
      <c r="I577" s="30" t="s">
        <v>1808</v>
      </c>
      <c r="J577" s="30" t="s">
        <v>1805</v>
      </c>
      <c r="K577" s="43" t="s">
        <v>202</v>
      </c>
      <c r="L577" s="34" t="s">
        <v>195</v>
      </c>
      <c r="M577" s="30">
        <v>4.0</v>
      </c>
      <c r="N577" s="30" t="s">
        <v>356</v>
      </c>
      <c r="O577" s="30" t="s">
        <v>194</v>
      </c>
      <c r="P577" s="30">
        <v>160.0</v>
      </c>
      <c r="Q577" s="30" t="s">
        <v>221</v>
      </c>
      <c r="R577" s="30" t="s">
        <v>222</v>
      </c>
      <c r="S577" s="30" t="s">
        <v>197</v>
      </c>
      <c r="T577" s="30" t="s">
        <v>1809</v>
      </c>
      <c r="U577" s="30">
        <v>2.1182247E7</v>
      </c>
    </row>
    <row r="578">
      <c r="A578" s="30">
        <v>51.431003</v>
      </c>
      <c r="B578" s="30">
        <v>25.225621</v>
      </c>
      <c r="C578" s="30" t="str">
        <f t="shared" si="1"/>
        <v>51.431003 25.225621</v>
      </c>
      <c r="D578" s="30">
        <v>55.0</v>
      </c>
      <c r="E578" s="36" t="s">
        <v>479</v>
      </c>
      <c r="F578" s="32" t="s">
        <v>1810</v>
      </c>
      <c r="G578" s="30" t="s">
        <v>190</v>
      </c>
      <c r="H578" s="33">
        <v>46092.0</v>
      </c>
      <c r="I578" s="30" t="s">
        <v>1811</v>
      </c>
      <c r="J578" s="30" t="s">
        <v>201</v>
      </c>
      <c r="K578" s="43" t="s">
        <v>202</v>
      </c>
      <c r="L578" s="30" t="s">
        <v>195</v>
      </c>
      <c r="M578" s="30">
        <v>3.0</v>
      </c>
      <c r="N578" s="57" t="s">
        <v>304</v>
      </c>
      <c r="O578" s="30" t="s">
        <v>194</v>
      </c>
      <c r="P578" s="30">
        <v>160.0</v>
      </c>
      <c r="Q578" s="30" t="s">
        <v>221</v>
      </c>
      <c r="R578" s="30" t="s">
        <v>222</v>
      </c>
      <c r="S578" s="30" t="s">
        <v>197</v>
      </c>
      <c r="T578" s="30" t="s">
        <v>1812</v>
      </c>
      <c r="U578" s="30">
        <v>2.1182248E7</v>
      </c>
    </row>
    <row r="579">
      <c r="A579" s="30">
        <v>51.430868</v>
      </c>
      <c r="B579" s="30">
        <v>25.235447</v>
      </c>
      <c r="C579" s="30" t="str">
        <f t="shared" si="1"/>
        <v>51.430868 25.235447</v>
      </c>
      <c r="D579" s="34">
        <v>55.0</v>
      </c>
      <c r="E579" s="95" t="s">
        <v>310</v>
      </c>
      <c r="F579" s="96" t="s">
        <v>1813</v>
      </c>
      <c r="G579" s="34" t="s">
        <v>190</v>
      </c>
      <c r="H579" s="55">
        <v>46093.0</v>
      </c>
      <c r="I579" s="95" t="s">
        <v>1814</v>
      </c>
      <c r="J579" s="34" t="s">
        <v>201</v>
      </c>
      <c r="K579" s="43" t="s">
        <v>202</v>
      </c>
      <c r="L579" s="95" t="s">
        <v>221</v>
      </c>
      <c r="M579" s="34">
        <v>3.0</v>
      </c>
      <c r="N579" s="57" t="s">
        <v>304</v>
      </c>
      <c r="O579" s="30" t="s">
        <v>194</v>
      </c>
      <c r="P579" s="30">
        <v>160.0</v>
      </c>
      <c r="Q579" s="30" t="s">
        <v>221</v>
      </c>
      <c r="R579" s="30" t="s">
        <v>222</v>
      </c>
      <c r="S579" s="30" t="s">
        <v>197</v>
      </c>
      <c r="T579" s="30" t="s">
        <v>1815</v>
      </c>
      <c r="U579" s="30">
        <v>2.1182249E7</v>
      </c>
    </row>
    <row r="580">
      <c r="A580" s="30">
        <v>51.431703</v>
      </c>
      <c r="B580" s="30">
        <v>25.233228</v>
      </c>
      <c r="C580" s="30" t="str">
        <f t="shared" si="1"/>
        <v>51.431703 25.233228</v>
      </c>
      <c r="D580" s="30">
        <v>55.0</v>
      </c>
      <c r="E580" s="31" t="s">
        <v>323</v>
      </c>
      <c r="F580" s="32" t="s">
        <v>1307</v>
      </c>
      <c r="G580" s="30" t="s">
        <v>190</v>
      </c>
      <c r="H580" s="33">
        <v>46092.0</v>
      </c>
      <c r="I580" s="30" t="s">
        <v>1816</v>
      </c>
      <c r="J580" s="30" t="s">
        <v>201</v>
      </c>
      <c r="K580" s="43" t="s">
        <v>202</v>
      </c>
      <c r="L580" s="30" t="s">
        <v>195</v>
      </c>
      <c r="M580" s="30">
        <v>3.0</v>
      </c>
      <c r="N580" s="57" t="s">
        <v>304</v>
      </c>
      <c r="O580" s="30" t="s">
        <v>194</v>
      </c>
      <c r="P580" s="30">
        <v>160.0</v>
      </c>
      <c r="Q580" s="30" t="s">
        <v>221</v>
      </c>
      <c r="R580" s="30" t="s">
        <v>222</v>
      </c>
      <c r="S580" s="30" t="s">
        <v>197</v>
      </c>
      <c r="T580" s="30" t="s">
        <v>1817</v>
      </c>
      <c r="U580" s="30">
        <v>2.118225E7</v>
      </c>
    </row>
    <row r="581">
      <c r="A581" s="30">
        <v>51.431575</v>
      </c>
      <c r="B581" s="30">
        <v>25.241745</v>
      </c>
      <c r="C581" s="30" t="str">
        <f t="shared" si="1"/>
        <v>51.431575 25.241745</v>
      </c>
      <c r="D581" s="30">
        <v>55.0</v>
      </c>
      <c r="E581" s="36" t="s">
        <v>479</v>
      </c>
      <c r="F581" s="32" t="s">
        <v>1818</v>
      </c>
      <c r="G581" s="30" t="s">
        <v>190</v>
      </c>
      <c r="H581" s="33">
        <v>46092.0</v>
      </c>
      <c r="I581" s="30" t="s">
        <v>1819</v>
      </c>
      <c r="J581" s="30" t="s">
        <v>201</v>
      </c>
      <c r="K581" s="43" t="s">
        <v>202</v>
      </c>
      <c r="L581" s="30" t="s">
        <v>195</v>
      </c>
      <c r="M581" s="30">
        <v>3.0</v>
      </c>
      <c r="N581" s="57" t="s">
        <v>304</v>
      </c>
      <c r="O581" s="30" t="s">
        <v>194</v>
      </c>
      <c r="P581" s="30">
        <v>160.0</v>
      </c>
      <c r="Q581" s="30" t="s">
        <v>221</v>
      </c>
      <c r="R581" s="30" t="s">
        <v>222</v>
      </c>
      <c r="S581" s="30" t="s">
        <v>197</v>
      </c>
      <c r="T581" s="30" t="s">
        <v>1820</v>
      </c>
      <c r="U581" s="30">
        <v>2.1182251E7</v>
      </c>
    </row>
    <row r="582">
      <c r="A582" s="30">
        <v>51.437646</v>
      </c>
      <c r="B582" s="30">
        <v>25.229275</v>
      </c>
      <c r="C582" s="30" t="str">
        <f t="shared" si="1"/>
        <v>51.437646 25.229275</v>
      </c>
      <c r="D582" s="30">
        <v>55.0</v>
      </c>
      <c r="E582" s="57" t="s">
        <v>471</v>
      </c>
      <c r="F582" s="97" t="s">
        <v>561</v>
      </c>
      <c r="G582" s="30" t="s">
        <v>657</v>
      </c>
      <c r="H582" s="98">
        <v>46093.0</v>
      </c>
      <c r="I582" s="38" t="s">
        <v>1821</v>
      </c>
      <c r="J582" s="38" t="s">
        <v>201</v>
      </c>
      <c r="K582" s="43" t="s">
        <v>202</v>
      </c>
      <c r="L582" s="38" t="s">
        <v>221</v>
      </c>
      <c r="M582" s="30">
        <v>3.0</v>
      </c>
      <c r="N582" s="57" t="s">
        <v>304</v>
      </c>
      <c r="O582" s="30" t="s">
        <v>194</v>
      </c>
      <c r="P582" s="30">
        <v>160.0</v>
      </c>
      <c r="Q582" s="30" t="s">
        <v>221</v>
      </c>
      <c r="R582" s="30" t="s">
        <v>222</v>
      </c>
      <c r="S582" s="30" t="s">
        <v>197</v>
      </c>
      <c r="T582" s="30" t="s">
        <v>1822</v>
      </c>
      <c r="U582" s="30">
        <v>2.1182252E7</v>
      </c>
    </row>
    <row r="583">
      <c r="A583" s="30">
        <v>51.570475</v>
      </c>
      <c r="B583" s="30">
        <v>25.134922</v>
      </c>
      <c r="C583" s="30" t="str">
        <f t="shared" si="1"/>
        <v>51.570475 25.134922</v>
      </c>
      <c r="D583" s="30">
        <v>91.0</v>
      </c>
      <c r="E583" s="36" t="s">
        <v>260</v>
      </c>
      <c r="F583" s="32" t="s">
        <v>225</v>
      </c>
      <c r="G583" s="30" t="s">
        <v>190</v>
      </c>
      <c r="H583" s="33">
        <v>46088.0</v>
      </c>
      <c r="I583" s="30" t="s">
        <v>1823</v>
      </c>
      <c r="J583" s="30" t="s">
        <v>1824</v>
      </c>
      <c r="K583" s="43" t="s">
        <v>202</v>
      </c>
      <c r="L583" s="30" t="s">
        <v>1825</v>
      </c>
      <c r="M583" s="30">
        <v>2.0</v>
      </c>
      <c r="N583" s="30" t="s">
        <v>220</v>
      </c>
      <c r="O583" s="30" t="s">
        <v>194</v>
      </c>
      <c r="P583" s="30">
        <v>160.0</v>
      </c>
      <c r="Q583" s="30" t="s">
        <v>221</v>
      </c>
      <c r="R583" s="30" t="s">
        <v>222</v>
      </c>
      <c r="S583" s="30" t="s">
        <v>197</v>
      </c>
      <c r="T583" s="30" t="s">
        <v>1826</v>
      </c>
      <c r="U583" s="30">
        <v>2.1187521E7</v>
      </c>
    </row>
    <row r="584">
      <c r="A584" s="30">
        <v>51.575481</v>
      </c>
      <c r="B584" s="30">
        <v>25.133175</v>
      </c>
      <c r="C584" s="30" t="str">
        <f t="shared" si="1"/>
        <v>51.575481 25.133175</v>
      </c>
      <c r="D584" s="30">
        <v>91.0</v>
      </c>
      <c r="E584" s="36" t="s">
        <v>454</v>
      </c>
      <c r="F584" s="32" t="s">
        <v>1053</v>
      </c>
      <c r="G584" s="30" t="s">
        <v>190</v>
      </c>
      <c r="H584" s="33">
        <v>46088.0</v>
      </c>
      <c r="I584" s="30" t="s">
        <v>1827</v>
      </c>
      <c r="J584" s="30" t="s">
        <v>1824</v>
      </c>
      <c r="K584" s="37" t="s">
        <v>296</v>
      </c>
      <c r="L584" s="30" t="s">
        <v>1828</v>
      </c>
      <c r="M584" s="30">
        <v>2.0</v>
      </c>
      <c r="N584" s="30" t="s">
        <v>220</v>
      </c>
      <c r="O584" s="30" t="s">
        <v>194</v>
      </c>
      <c r="P584" s="30">
        <v>160.0</v>
      </c>
      <c r="Q584" s="30" t="s">
        <v>221</v>
      </c>
      <c r="R584" s="30" t="s">
        <v>222</v>
      </c>
      <c r="S584" s="30" t="s">
        <v>197</v>
      </c>
      <c r="T584" s="30" t="s">
        <v>1829</v>
      </c>
      <c r="U584" s="30">
        <v>2.1187519E7</v>
      </c>
    </row>
    <row r="585">
      <c r="A585" s="30">
        <v>51.571946</v>
      </c>
      <c r="B585" s="30">
        <v>25.129357</v>
      </c>
      <c r="C585" s="30" t="str">
        <f t="shared" si="1"/>
        <v>51.571946 25.129357</v>
      </c>
      <c r="D585" s="30">
        <v>91.0</v>
      </c>
      <c r="E585" s="36" t="s">
        <v>260</v>
      </c>
      <c r="F585" s="32" t="s">
        <v>1232</v>
      </c>
      <c r="G585" s="30" t="s">
        <v>190</v>
      </c>
      <c r="H585" s="33">
        <v>46088.0</v>
      </c>
      <c r="I585" s="30" t="s">
        <v>1830</v>
      </c>
      <c r="J585" s="30" t="s">
        <v>1824</v>
      </c>
      <c r="K585" s="37" t="s">
        <v>202</v>
      </c>
      <c r="L585" s="30" t="s">
        <v>1831</v>
      </c>
      <c r="M585" s="30">
        <v>2.0</v>
      </c>
      <c r="N585" s="30" t="s">
        <v>220</v>
      </c>
      <c r="O585" s="30" t="s">
        <v>194</v>
      </c>
      <c r="P585" s="30">
        <v>160.0</v>
      </c>
      <c r="Q585" s="30" t="s">
        <v>221</v>
      </c>
      <c r="R585" s="30" t="s">
        <v>222</v>
      </c>
      <c r="S585" s="30" t="s">
        <v>197</v>
      </c>
      <c r="T585" s="30" t="s">
        <v>1832</v>
      </c>
      <c r="U585" s="30">
        <v>2.1187524E7</v>
      </c>
    </row>
    <row r="586">
      <c r="A586" s="30">
        <v>51.575014</v>
      </c>
      <c r="B586" s="30">
        <v>25.140473</v>
      </c>
      <c r="C586" s="30" t="str">
        <f t="shared" si="1"/>
        <v>51.575014 25.140473</v>
      </c>
      <c r="D586" s="30">
        <v>91.0</v>
      </c>
      <c r="E586" s="36" t="s">
        <v>440</v>
      </c>
      <c r="F586" s="32" t="s">
        <v>1833</v>
      </c>
      <c r="G586" s="30" t="s">
        <v>190</v>
      </c>
      <c r="H586" s="33">
        <v>46088.0</v>
      </c>
      <c r="I586" s="30" t="s">
        <v>1834</v>
      </c>
      <c r="J586" s="30" t="s">
        <v>1824</v>
      </c>
      <c r="K586" s="37" t="s">
        <v>202</v>
      </c>
      <c r="L586" s="30" t="s">
        <v>1825</v>
      </c>
      <c r="M586" s="30">
        <v>2.0</v>
      </c>
      <c r="N586" s="30" t="s">
        <v>220</v>
      </c>
      <c r="O586" s="30" t="s">
        <v>194</v>
      </c>
      <c r="P586" s="30">
        <v>160.0</v>
      </c>
      <c r="Q586" s="30" t="s">
        <v>221</v>
      </c>
      <c r="R586" s="30" t="s">
        <v>222</v>
      </c>
      <c r="S586" s="30" t="s">
        <v>197</v>
      </c>
      <c r="T586" s="30" t="s">
        <v>1835</v>
      </c>
      <c r="U586" s="30">
        <v>2.1187522E7</v>
      </c>
    </row>
    <row r="587">
      <c r="A587" s="30">
        <v>51.573446</v>
      </c>
      <c r="B587" s="30">
        <v>25.134882</v>
      </c>
      <c r="C587" s="30" t="str">
        <f t="shared" si="1"/>
        <v>51.573446 25.134882</v>
      </c>
      <c r="D587" s="34">
        <v>91.0</v>
      </c>
      <c r="E587" s="53" t="s">
        <v>310</v>
      </c>
      <c r="F587" s="54" t="s">
        <v>1836</v>
      </c>
      <c r="G587" s="34" t="s">
        <v>190</v>
      </c>
      <c r="H587" s="55">
        <v>46086.0</v>
      </c>
      <c r="I587" s="34">
        <v>1344290.0</v>
      </c>
      <c r="J587" s="34" t="s">
        <v>1824</v>
      </c>
      <c r="K587" s="43" t="s">
        <v>202</v>
      </c>
      <c r="L587" s="34" t="s">
        <v>1837</v>
      </c>
      <c r="M587" s="34">
        <v>2.0</v>
      </c>
      <c r="N587" s="34" t="s">
        <v>220</v>
      </c>
      <c r="O587" s="30" t="s">
        <v>194</v>
      </c>
      <c r="P587" s="30">
        <v>160.0</v>
      </c>
      <c r="Q587" s="30" t="s">
        <v>221</v>
      </c>
      <c r="R587" s="30" t="s">
        <v>222</v>
      </c>
      <c r="S587" s="30" t="s">
        <v>197</v>
      </c>
      <c r="T587" s="30" t="s">
        <v>1838</v>
      </c>
      <c r="U587" s="30">
        <v>2.118752E7</v>
      </c>
    </row>
    <row r="588">
      <c r="A588" s="30">
        <v>51.321697</v>
      </c>
      <c r="B588" s="30">
        <v>25.375592</v>
      </c>
      <c r="C588" s="30" t="str">
        <f t="shared" si="1"/>
        <v>51.321697 25.375592</v>
      </c>
      <c r="D588" s="30">
        <v>51.0</v>
      </c>
      <c r="E588" s="36" t="s">
        <v>1839</v>
      </c>
      <c r="F588" s="32" t="s">
        <v>1840</v>
      </c>
      <c r="G588" s="30" t="s">
        <v>190</v>
      </c>
      <c r="H588" s="33">
        <v>46099.0</v>
      </c>
      <c r="I588" s="30">
        <v>1284007.0</v>
      </c>
      <c r="J588" s="30" t="s">
        <v>1841</v>
      </c>
      <c r="K588" s="37" t="s">
        <v>202</v>
      </c>
      <c r="L588" s="35"/>
      <c r="M588" s="30">
        <v>4.0</v>
      </c>
      <c r="N588" s="30" t="s">
        <v>356</v>
      </c>
      <c r="O588" s="30" t="s">
        <v>194</v>
      </c>
      <c r="P588" s="30">
        <v>160.0</v>
      </c>
      <c r="Q588" s="30" t="s">
        <v>221</v>
      </c>
      <c r="R588" s="30" t="s">
        <v>222</v>
      </c>
      <c r="S588" s="30" t="s">
        <v>197</v>
      </c>
      <c r="T588" s="30" t="s">
        <v>1842</v>
      </c>
      <c r="U588" s="30">
        <v>2.1187523E7</v>
      </c>
    </row>
    <row r="589">
      <c r="A589" s="30">
        <v>51.522467</v>
      </c>
      <c r="B589" s="30">
        <v>25.031076</v>
      </c>
      <c r="C589" s="30" t="str">
        <f t="shared" si="1"/>
        <v>51.522467 25.031076</v>
      </c>
      <c r="D589" s="30">
        <v>92.0</v>
      </c>
      <c r="E589" s="61" t="s">
        <v>310</v>
      </c>
      <c r="F589" s="40" t="s">
        <v>201</v>
      </c>
      <c r="G589" s="57" t="s">
        <v>190</v>
      </c>
      <c r="H589" s="33">
        <v>46107.0</v>
      </c>
      <c r="I589" s="30">
        <v>1280584.0</v>
      </c>
      <c r="J589" s="30" t="s">
        <v>1843</v>
      </c>
      <c r="K589" s="34" t="s">
        <v>252</v>
      </c>
      <c r="L589" s="63"/>
      <c r="M589" s="30">
        <v>3.0</v>
      </c>
      <c r="N589" s="57" t="s">
        <v>356</v>
      </c>
      <c r="O589" s="30" t="s">
        <v>194</v>
      </c>
      <c r="P589" s="30">
        <v>160.0</v>
      </c>
      <c r="Q589" s="30" t="s">
        <v>221</v>
      </c>
      <c r="R589" s="30" t="s">
        <v>222</v>
      </c>
      <c r="S589" s="30" t="s">
        <v>197</v>
      </c>
      <c r="T589" s="30" t="s">
        <v>1844</v>
      </c>
      <c r="U589" s="30">
        <v>2.1196302E7</v>
      </c>
    </row>
    <row r="590">
      <c r="A590" s="30">
        <v>51.543943</v>
      </c>
      <c r="B590" s="30">
        <v>25.034808</v>
      </c>
      <c r="C590" s="30" t="str">
        <f t="shared" si="1"/>
        <v>51.543943 25.034808</v>
      </c>
      <c r="D590" s="30">
        <v>92.0</v>
      </c>
      <c r="E590" s="39" t="s">
        <v>264</v>
      </c>
      <c r="F590" s="40" t="s">
        <v>1426</v>
      </c>
      <c r="G590" s="30" t="s">
        <v>190</v>
      </c>
      <c r="H590" s="42">
        <v>46081.0</v>
      </c>
      <c r="I590" s="41">
        <v>1280583.0</v>
      </c>
      <c r="J590" s="41" t="s">
        <v>1845</v>
      </c>
      <c r="K590" s="37" t="s">
        <v>202</v>
      </c>
      <c r="L590" s="77" t="s">
        <v>195</v>
      </c>
      <c r="M590" s="77">
        <v>3.0</v>
      </c>
      <c r="N590" s="30" t="s">
        <v>220</v>
      </c>
      <c r="O590" s="30" t="s">
        <v>194</v>
      </c>
      <c r="P590" s="30">
        <v>160.0</v>
      </c>
      <c r="Q590" s="30" t="s">
        <v>195</v>
      </c>
      <c r="R590" s="30" t="s">
        <v>196</v>
      </c>
      <c r="S590" s="30" t="s">
        <v>197</v>
      </c>
      <c r="T590" s="30" t="s">
        <v>1846</v>
      </c>
      <c r="U590" s="30">
        <v>2.1196303E7</v>
      </c>
    </row>
    <row r="591">
      <c r="A591" s="30">
        <v>51.550864</v>
      </c>
      <c r="B591" s="30">
        <v>25.0274</v>
      </c>
      <c r="C591" s="30" t="str">
        <f t="shared" si="1"/>
        <v>51.550864 25.0274</v>
      </c>
      <c r="D591" s="30">
        <v>92.0</v>
      </c>
      <c r="E591" s="39" t="s">
        <v>1254</v>
      </c>
      <c r="F591" s="40" t="s">
        <v>201</v>
      </c>
      <c r="G591" s="30" t="s">
        <v>190</v>
      </c>
      <c r="H591" s="33">
        <v>46084.0</v>
      </c>
      <c r="I591" s="41">
        <v>1280581.0</v>
      </c>
      <c r="J591" s="41" t="s">
        <v>1847</v>
      </c>
      <c r="K591" s="37" t="s">
        <v>202</v>
      </c>
      <c r="L591" s="77" t="s">
        <v>195</v>
      </c>
      <c r="M591" s="77">
        <v>3.0</v>
      </c>
      <c r="N591" s="30" t="s">
        <v>220</v>
      </c>
      <c r="O591" s="30" t="s">
        <v>194</v>
      </c>
      <c r="P591" s="30">
        <v>160.0</v>
      </c>
      <c r="Q591" s="30" t="s">
        <v>221</v>
      </c>
      <c r="R591" s="30" t="s">
        <v>222</v>
      </c>
      <c r="S591" s="30" t="s">
        <v>197</v>
      </c>
      <c r="T591" s="30" t="s">
        <v>1848</v>
      </c>
      <c r="U591" s="30">
        <v>2.1196304E7</v>
      </c>
    </row>
    <row r="592">
      <c r="A592" s="30">
        <v>51.552022</v>
      </c>
      <c r="B592" s="30">
        <v>25.027228</v>
      </c>
      <c r="C592" s="30" t="str">
        <f t="shared" si="1"/>
        <v>51.552022 25.027228</v>
      </c>
      <c r="D592" s="30">
        <v>92.0</v>
      </c>
      <c r="E592" s="36" t="s">
        <v>679</v>
      </c>
      <c r="F592" s="40" t="s">
        <v>201</v>
      </c>
      <c r="G592" s="30" t="s">
        <v>190</v>
      </c>
      <c r="H592" s="33">
        <v>46107.0</v>
      </c>
      <c r="I592" s="30">
        <v>1280585.0</v>
      </c>
      <c r="J592" s="30" t="s">
        <v>1849</v>
      </c>
      <c r="K592" s="34" t="s">
        <v>252</v>
      </c>
      <c r="L592" s="35"/>
      <c r="M592" s="30">
        <v>3.0</v>
      </c>
      <c r="N592" s="57" t="s">
        <v>356</v>
      </c>
      <c r="O592" s="30" t="s">
        <v>194</v>
      </c>
      <c r="P592" s="30">
        <v>160.0</v>
      </c>
      <c r="Q592" s="30" t="s">
        <v>221</v>
      </c>
      <c r="R592" s="30" t="s">
        <v>222</v>
      </c>
      <c r="S592" s="30" t="s">
        <v>197</v>
      </c>
      <c r="T592" s="30" t="s">
        <v>1850</v>
      </c>
      <c r="U592" s="30">
        <v>2.1196305E7</v>
      </c>
    </row>
    <row r="593">
      <c r="A593" s="30">
        <v>51.55266</v>
      </c>
      <c r="B593" s="30">
        <v>25.027927</v>
      </c>
      <c r="C593" s="30" t="str">
        <f t="shared" si="1"/>
        <v>51.55266 25.027927</v>
      </c>
      <c r="D593" s="30">
        <v>92.0</v>
      </c>
      <c r="E593" s="39" t="s">
        <v>228</v>
      </c>
      <c r="F593" s="40" t="s">
        <v>201</v>
      </c>
      <c r="G593" s="30" t="s">
        <v>190</v>
      </c>
      <c r="H593" s="33">
        <v>46086.0</v>
      </c>
      <c r="I593" s="41">
        <v>1280586.0</v>
      </c>
      <c r="J593" s="41" t="s">
        <v>1851</v>
      </c>
      <c r="K593" s="37" t="s">
        <v>202</v>
      </c>
      <c r="L593" s="77" t="s">
        <v>195</v>
      </c>
      <c r="M593" s="77">
        <v>2.0</v>
      </c>
      <c r="N593" s="30" t="s">
        <v>220</v>
      </c>
      <c r="O593" s="30" t="s">
        <v>194</v>
      </c>
      <c r="P593" s="30">
        <v>160.0</v>
      </c>
      <c r="Q593" s="30" t="s">
        <v>195</v>
      </c>
      <c r="R593" s="30" t="s">
        <v>196</v>
      </c>
      <c r="S593" s="30" t="s">
        <v>197</v>
      </c>
      <c r="T593" s="30" t="s">
        <v>1852</v>
      </c>
      <c r="U593" s="30">
        <v>2.1196306E7</v>
      </c>
    </row>
    <row r="594">
      <c r="A594" s="30">
        <v>51.559213</v>
      </c>
      <c r="B594" s="30">
        <v>25.03083</v>
      </c>
      <c r="C594" s="30" t="str">
        <f t="shared" si="1"/>
        <v>51.559213 25.03083</v>
      </c>
      <c r="D594" s="30">
        <v>92.0</v>
      </c>
      <c r="E594" s="39" t="s">
        <v>479</v>
      </c>
      <c r="F594" s="40" t="s">
        <v>201</v>
      </c>
      <c r="G594" s="30" t="s">
        <v>190</v>
      </c>
      <c r="H594" s="33">
        <v>46086.0</v>
      </c>
      <c r="I594" s="41">
        <v>1280587.0</v>
      </c>
      <c r="J594" s="30" t="s">
        <v>201</v>
      </c>
      <c r="K594" s="37" t="s">
        <v>202</v>
      </c>
      <c r="L594" s="77" t="s">
        <v>195</v>
      </c>
      <c r="M594" s="77">
        <v>2.0</v>
      </c>
      <c r="N594" s="30" t="s">
        <v>220</v>
      </c>
      <c r="O594" s="30" t="s">
        <v>194</v>
      </c>
      <c r="P594" s="30">
        <v>160.0</v>
      </c>
      <c r="Q594" s="30" t="s">
        <v>221</v>
      </c>
      <c r="R594" s="30" t="s">
        <v>222</v>
      </c>
      <c r="S594" s="30" t="s">
        <v>197</v>
      </c>
      <c r="T594" s="30" t="s">
        <v>1853</v>
      </c>
      <c r="U594" s="30">
        <v>2.1196307E7</v>
      </c>
    </row>
    <row r="595">
      <c r="A595" s="30">
        <v>51.559537</v>
      </c>
      <c r="B595" s="30">
        <v>25.032522</v>
      </c>
      <c r="C595" s="30" t="str">
        <f t="shared" si="1"/>
        <v>51.559537 25.032522</v>
      </c>
      <c r="D595" s="30">
        <v>92.0</v>
      </c>
      <c r="E595" s="39" t="s">
        <v>532</v>
      </c>
      <c r="F595" s="32" t="s">
        <v>463</v>
      </c>
      <c r="G595" s="30" t="s">
        <v>190</v>
      </c>
      <c r="H595" s="33">
        <v>46081.0</v>
      </c>
      <c r="I595" s="41">
        <v>1280589.0</v>
      </c>
      <c r="J595" s="30" t="s">
        <v>1854</v>
      </c>
      <c r="K595" s="37" t="s">
        <v>202</v>
      </c>
      <c r="L595" s="30" t="s">
        <v>195</v>
      </c>
      <c r="M595" s="30">
        <v>2.0</v>
      </c>
      <c r="N595" s="30" t="s">
        <v>220</v>
      </c>
      <c r="O595" s="30" t="s">
        <v>194</v>
      </c>
      <c r="P595" s="30">
        <v>160.0</v>
      </c>
      <c r="Q595" s="30" t="s">
        <v>221</v>
      </c>
      <c r="R595" s="30" t="s">
        <v>222</v>
      </c>
      <c r="S595" s="30" t="s">
        <v>197</v>
      </c>
      <c r="T595" s="30" t="s">
        <v>1855</v>
      </c>
      <c r="U595" s="30">
        <v>2.1196308E7</v>
      </c>
    </row>
    <row r="596">
      <c r="A596" s="30">
        <v>51.568418</v>
      </c>
      <c r="B596" s="30">
        <v>25.030846</v>
      </c>
      <c r="C596" s="30" t="str">
        <f t="shared" si="1"/>
        <v>51.568418 25.030846</v>
      </c>
      <c r="D596" s="30">
        <v>92.0</v>
      </c>
      <c r="E596" s="39" t="s">
        <v>471</v>
      </c>
      <c r="F596" s="32" t="s">
        <v>1232</v>
      </c>
      <c r="G596" s="30" t="s">
        <v>190</v>
      </c>
      <c r="H596" s="33">
        <v>46086.0</v>
      </c>
      <c r="I596" s="41">
        <v>1280590.0</v>
      </c>
      <c r="J596" s="41" t="s">
        <v>1856</v>
      </c>
      <c r="K596" s="37" t="s">
        <v>202</v>
      </c>
      <c r="L596" s="77" t="s">
        <v>195</v>
      </c>
      <c r="M596" s="77">
        <v>2.0</v>
      </c>
      <c r="N596" s="30" t="s">
        <v>220</v>
      </c>
      <c r="O596" s="30" t="s">
        <v>194</v>
      </c>
      <c r="P596" s="30">
        <v>160.0</v>
      </c>
      <c r="Q596" s="30" t="s">
        <v>221</v>
      </c>
      <c r="R596" s="30" t="s">
        <v>222</v>
      </c>
      <c r="S596" s="30" t="s">
        <v>197</v>
      </c>
      <c r="T596" s="30" t="s">
        <v>1857</v>
      </c>
      <c r="U596" s="30">
        <v>2.1196309E7</v>
      </c>
    </row>
    <row r="597">
      <c r="A597" s="30">
        <v>51.576103</v>
      </c>
      <c r="B597" s="30">
        <v>25.065092</v>
      </c>
      <c r="C597" s="30" t="str">
        <f t="shared" si="1"/>
        <v>51.576103 25.065092</v>
      </c>
      <c r="D597" s="30">
        <v>90.0</v>
      </c>
      <c r="E597" s="36" t="s">
        <v>475</v>
      </c>
      <c r="F597" s="32" t="s">
        <v>1053</v>
      </c>
      <c r="G597" s="30" t="s">
        <v>190</v>
      </c>
      <c r="H597" s="33">
        <v>46088.0</v>
      </c>
      <c r="I597" s="30">
        <v>1280595.0</v>
      </c>
      <c r="J597" s="30" t="s">
        <v>201</v>
      </c>
      <c r="K597" s="37" t="s">
        <v>202</v>
      </c>
      <c r="L597" s="30" t="s">
        <v>195</v>
      </c>
      <c r="M597" s="30">
        <v>3.0</v>
      </c>
      <c r="N597" s="30" t="s">
        <v>220</v>
      </c>
      <c r="O597" s="30" t="s">
        <v>194</v>
      </c>
      <c r="P597" s="30">
        <v>160.0</v>
      </c>
      <c r="Q597" s="30" t="s">
        <v>221</v>
      </c>
      <c r="R597" s="30" t="s">
        <v>222</v>
      </c>
      <c r="S597" s="30" t="s">
        <v>197</v>
      </c>
      <c r="T597" s="30" t="s">
        <v>1858</v>
      </c>
      <c r="U597" s="30">
        <v>2.119631E7</v>
      </c>
    </row>
    <row r="598">
      <c r="A598" s="30">
        <v>51.570562</v>
      </c>
      <c r="B598" s="30">
        <v>25.067271</v>
      </c>
      <c r="C598" s="30" t="str">
        <f t="shared" si="1"/>
        <v>51.570562 25.067271</v>
      </c>
      <c r="D598" s="30">
        <v>90.0</v>
      </c>
      <c r="E598" s="36" t="s">
        <v>293</v>
      </c>
      <c r="F598" s="32" t="s">
        <v>1134</v>
      </c>
      <c r="G598" s="30" t="s">
        <v>190</v>
      </c>
      <c r="H598" s="33">
        <v>46090.0</v>
      </c>
      <c r="I598" s="30">
        <v>1280592.0</v>
      </c>
      <c r="J598" s="30" t="s">
        <v>201</v>
      </c>
      <c r="K598" s="37" t="s">
        <v>202</v>
      </c>
      <c r="L598" s="30" t="s">
        <v>195</v>
      </c>
      <c r="M598" s="30">
        <v>3.0</v>
      </c>
      <c r="N598" s="30" t="s">
        <v>220</v>
      </c>
      <c r="O598" s="30" t="s">
        <v>194</v>
      </c>
      <c r="P598" s="30">
        <v>160.0</v>
      </c>
      <c r="Q598" s="30" t="s">
        <v>221</v>
      </c>
      <c r="R598" s="30" t="s">
        <v>222</v>
      </c>
      <c r="S598" s="30" t="s">
        <v>197</v>
      </c>
      <c r="T598" s="30" t="s">
        <v>1859</v>
      </c>
      <c r="U598" s="30">
        <v>2.1196311E7</v>
      </c>
    </row>
    <row r="599">
      <c r="A599" s="30">
        <v>51.569404</v>
      </c>
      <c r="B599" s="30">
        <v>25.066623</v>
      </c>
      <c r="C599" s="30" t="str">
        <f t="shared" si="1"/>
        <v>51.569404 25.066623</v>
      </c>
      <c r="D599" s="30">
        <v>92.0</v>
      </c>
      <c r="E599" s="36" t="s">
        <v>266</v>
      </c>
      <c r="F599" s="40" t="s">
        <v>201</v>
      </c>
      <c r="G599" s="30" t="s">
        <v>190</v>
      </c>
      <c r="H599" s="33">
        <v>46088.0</v>
      </c>
      <c r="I599" s="30">
        <v>1280591.0</v>
      </c>
      <c r="J599" s="30" t="s">
        <v>201</v>
      </c>
      <c r="K599" s="37" t="s">
        <v>202</v>
      </c>
      <c r="L599" s="30" t="s">
        <v>195</v>
      </c>
      <c r="M599" s="30">
        <v>3.0</v>
      </c>
      <c r="N599" s="30" t="s">
        <v>220</v>
      </c>
      <c r="O599" s="30" t="s">
        <v>194</v>
      </c>
      <c r="P599" s="30">
        <v>160.0</v>
      </c>
      <c r="Q599" s="30" t="s">
        <v>221</v>
      </c>
      <c r="R599" s="30" t="s">
        <v>222</v>
      </c>
      <c r="S599" s="30" t="s">
        <v>197</v>
      </c>
      <c r="T599" s="30" t="s">
        <v>1860</v>
      </c>
      <c r="U599" s="30">
        <v>2.1196312E7</v>
      </c>
    </row>
    <row r="600">
      <c r="A600" s="30">
        <v>51.565283</v>
      </c>
      <c r="B600" s="30">
        <v>25.072973</v>
      </c>
      <c r="C600" s="30" t="str">
        <f t="shared" si="1"/>
        <v>51.565283 25.072973</v>
      </c>
      <c r="D600" s="30">
        <v>91.0</v>
      </c>
      <c r="E600" s="39" t="s">
        <v>375</v>
      </c>
      <c r="F600" s="40" t="s">
        <v>1307</v>
      </c>
      <c r="G600" s="30" t="s">
        <v>190</v>
      </c>
      <c r="H600" s="42">
        <v>46085.0</v>
      </c>
      <c r="I600" s="41">
        <v>1280596.0</v>
      </c>
      <c r="J600" s="41" t="s">
        <v>1861</v>
      </c>
      <c r="K600" s="37" t="s">
        <v>202</v>
      </c>
      <c r="L600" s="77" t="s">
        <v>195</v>
      </c>
      <c r="M600" s="77">
        <v>3.0</v>
      </c>
      <c r="N600" s="30" t="s">
        <v>220</v>
      </c>
      <c r="O600" s="30" t="s">
        <v>194</v>
      </c>
      <c r="P600" s="30">
        <v>160.0</v>
      </c>
      <c r="Q600" s="30" t="s">
        <v>221</v>
      </c>
      <c r="R600" s="30" t="s">
        <v>222</v>
      </c>
      <c r="S600" s="30" t="s">
        <v>197</v>
      </c>
      <c r="T600" s="30" t="s">
        <v>1862</v>
      </c>
      <c r="U600" s="30">
        <v>2.1196313E7</v>
      </c>
    </row>
    <row r="601">
      <c r="A601" s="30">
        <v>51.570089</v>
      </c>
      <c r="B601" s="30">
        <v>25.080343</v>
      </c>
      <c r="C601" s="30" t="str">
        <f t="shared" si="1"/>
        <v>51.570089 25.080343</v>
      </c>
      <c r="D601" s="30">
        <v>90.0</v>
      </c>
      <c r="E601" s="36" t="s">
        <v>260</v>
      </c>
      <c r="F601" s="40" t="s">
        <v>201</v>
      </c>
      <c r="G601" s="30" t="s">
        <v>190</v>
      </c>
      <c r="H601" s="33">
        <v>46088.0</v>
      </c>
      <c r="I601" s="30">
        <v>1280597.0</v>
      </c>
      <c r="J601" s="30" t="s">
        <v>201</v>
      </c>
      <c r="K601" s="37" t="s">
        <v>202</v>
      </c>
      <c r="L601" s="30" t="s">
        <v>195</v>
      </c>
      <c r="M601" s="30">
        <v>3.0</v>
      </c>
      <c r="N601" s="30" t="s">
        <v>220</v>
      </c>
      <c r="O601" s="30" t="s">
        <v>194</v>
      </c>
      <c r="P601" s="30">
        <v>160.0</v>
      </c>
      <c r="Q601" s="30" t="s">
        <v>221</v>
      </c>
      <c r="R601" s="30" t="s">
        <v>222</v>
      </c>
      <c r="S601" s="30" t="s">
        <v>197</v>
      </c>
      <c r="T601" s="30" t="s">
        <v>1863</v>
      </c>
      <c r="U601" s="30">
        <v>2.1196314E7</v>
      </c>
    </row>
    <row r="602">
      <c r="A602" s="30">
        <v>51.569462</v>
      </c>
      <c r="B602" s="30">
        <v>25.081115</v>
      </c>
      <c r="C602" s="30" t="str">
        <f t="shared" si="1"/>
        <v>51.569462 25.081115</v>
      </c>
      <c r="D602" s="30">
        <v>91.0</v>
      </c>
      <c r="E602" s="39" t="s">
        <v>454</v>
      </c>
      <c r="F602" s="40" t="s">
        <v>201</v>
      </c>
      <c r="G602" s="30" t="s">
        <v>190</v>
      </c>
      <c r="H602" s="42">
        <v>46086.0</v>
      </c>
      <c r="I602" s="41">
        <v>1280598.0</v>
      </c>
      <c r="J602" s="30" t="s">
        <v>201</v>
      </c>
      <c r="K602" s="37" t="s">
        <v>202</v>
      </c>
      <c r="L602" s="77" t="s">
        <v>195</v>
      </c>
      <c r="M602" s="77">
        <v>3.0</v>
      </c>
      <c r="N602" s="30" t="s">
        <v>220</v>
      </c>
      <c r="O602" s="30" t="s">
        <v>194</v>
      </c>
      <c r="P602" s="30">
        <v>160.0</v>
      </c>
      <c r="Q602" s="30" t="s">
        <v>221</v>
      </c>
      <c r="R602" s="30" t="s">
        <v>222</v>
      </c>
      <c r="S602" s="30" t="s">
        <v>197</v>
      </c>
      <c r="T602" s="30" t="s">
        <v>1864</v>
      </c>
      <c r="U602" s="30">
        <v>2.1196315E7</v>
      </c>
    </row>
    <row r="603">
      <c r="A603" s="30">
        <v>51.582783</v>
      </c>
      <c r="B603" s="30">
        <v>25.109546</v>
      </c>
      <c r="C603" s="30" t="str">
        <f t="shared" si="1"/>
        <v>51.582783 25.109546</v>
      </c>
      <c r="D603" s="30">
        <v>90.0</v>
      </c>
      <c r="E603" s="39" t="s">
        <v>440</v>
      </c>
      <c r="F603" s="40" t="s">
        <v>201</v>
      </c>
      <c r="G603" s="30" t="s">
        <v>190</v>
      </c>
      <c r="H603" s="42">
        <v>46085.0</v>
      </c>
      <c r="I603" s="41">
        <v>1280599.0</v>
      </c>
      <c r="J603" s="30" t="s">
        <v>201</v>
      </c>
      <c r="K603" s="37" t="s">
        <v>202</v>
      </c>
      <c r="L603" s="77" t="s">
        <v>195</v>
      </c>
      <c r="M603" s="77">
        <v>3.0</v>
      </c>
      <c r="N603" s="30" t="s">
        <v>220</v>
      </c>
      <c r="O603" s="30" t="s">
        <v>194</v>
      </c>
      <c r="P603" s="30">
        <v>160.0</v>
      </c>
      <c r="Q603" s="30" t="s">
        <v>221</v>
      </c>
      <c r="R603" s="30" t="s">
        <v>222</v>
      </c>
      <c r="S603" s="30" t="s">
        <v>197</v>
      </c>
      <c r="T603" s="30" t="s">
        <v>1865</v>
      </c>
      <c r="U603" s="30">
        <v>2.1196316E7</v>
      </c>
    </row>
    <row r="604">
      <c r="A604" s="30">
        <v>51.49151</v>
      </c>
      <c r="B604" s="30">
        <v>25.12501</v>
      </c>
      <c r="C604" s="30" t="str">
        <f t="shared" si="1"/>
        <v>51.49151 25.12501</v>
      </c>
      <c r="D604" s="30">
        <v>91.0</v>
      </c>
      <c r="E604" s="36" t="s">
        <v>1866</v>
      </c>
      <c r="F604" s="40" t="s">
        <v>201</v>
      </c>
      <c r="G604" s="30" t="s">
        <v>190</v>
      </c>
      <c r="H604" s="33">
        <v>46097.0</v>
      </c>
      <c r="I604" s="30">
        <v>1280600.0</v>
      </c>
      <c r="J604" s="30" t="s">
        <v>201</v>
      </c>
      <c r="K604" s="37" t="s">
        <v>202</v>
      </c>
      <c r="L604" s="63"/>
      <c r="M604" s="30">
        <v>3.0</v>
      </c>
      <c r="N604" s="57" t="s">
        <v>220</v>
      </c>
      <c r="O604" s="30" t="s">
        <v>194</v>
      </c>
      <c r="P604" s="30">
        <v>160.0</v>
      </c>
      <c r="Q604" s="30" t="s">
        <v>221</v>
      </c>
      <c r="R604" s="30" t="s">
        <v>222</v>
      </c>
      <c r="S604" s="30" t="s">
        <v>197</v>
      </c>
      <c r="T604" s="30" t="s">
        <v>1867</v>
      </c>
      <c r="U604" s="30">
        <v>2.1196317E7</v>
      </c>
    </row>
    <row r="605">
      <c r="A605" s="30">
        <v>51.491314</v>
      </c>
      <c r="B605" s="30">
        <v>25.126343</v>
      </c>
      <c r="C605" s="30" t="str">
        <f t="shared" si="1"/>
        <v>51.491314 25.126343</v>
      </c>
      <c r="D605" s="30">
        <v>91.0</v>
      </c>
      <c r="E605" s="36" t="s">
        <v>249</v>
      </c>
      <c r="F605" s="40" t="s">
        <v>201</v>
      </c>
      <c r="G605" s="30" t="s">
        <v>190</v>
      </c>
      <c r="H605" s="33">
        <v>46097.0</v>
      </c>
      <c r="I605" s="30">
        <v>1280594.0</v>
      </c>
      <c r="J605" s="30" t="s">
        <v>201</v>
      </c>
      <c r="K605" s="37" t="s">
        <v>202</v>
      </c>
      <c r="L605" s="63"/>
      <c r="M605" s="30">
        <v>3.0</v>
      </c>
      <c r="N605" s="57" t="s">
        <v>220</v>
      </c>
      <c r="O605" s="30" t="s">
        <v>194</v>
      </c>
      <c r="P605" s="30">
        <v>160.0</v>
      </c>
      <c r="Q605" s="30" t="s">
        <v>221</v>
      </c>
      <c r="R605" s="30" t="s">
        <v>222</v>
      </c>
      <c r="S605" s="30" t="s">
        <v>197</v>
      </c>
      <c r="T605" s="30" t="s">
        <v>1868</v>
      </c>
      <c r="U605" s="30">
        <v>2.1196318E7</v>
      </c>
    </row>
    <row r="606">
      <c r="A606" s="30">
        <v>51.484381</v>
      </c>
      <c r="B606" s="30">
        <v>25.126733</v>
      </c>
      <c r="C606" s="30" t="str">
        <f t="shared" si="1"/>
        <v>51.484381 25.126733</v>
      </c>
      <c r="D606" s="30">
        <v>91.0</v>
      </c>
      <c r="E606" s="36" t="s">
        <v>726</v>
      </c>
      <c r="F606" s="40" t="s">
        <v>201</v>
      </c>
      <c r="G606" s="30" t="s">
        <v>190</v>
      </c>
      <c r="H606" s="33">
        <v>46097.0</v>
      </c>
      <c r="I606" s="30">
        <v>1280588.0</v>
      </c>
      <c r="J606" s="30" t="s">
        <v>201</v>
      </c>
      <c r="K606" s="37" t="s">
        <v>202</v>
      </c>
      <c r="L606" s="63"/>
      <c r="M606" s="30">
        <v>3.0</v>
      </c>
      <c r="N606" s="57" t="s">
        <v>220</v>
      </c>
      <c r="O606" s="30" t="s">
        <v>194</v>
      </c>
      <c r="P606" s="30">
        <v>160.0</v>
      </c>
      <c r="Q606" s="30" t="s">
        <v>221</v>
      </c>
      <c r="R606" s="30" t="s">
        <v>222</v>
      </c>
      <c r="S606" s="30" t="s">
        <v>197</v>
      </c>
      <c r="T606" s="30" t="s">
        <v>1869</v>
      </c>
      <c r="U606" s="30">
        <v>2.1196319E7</v>
      </c>
    </row>
    <row r="607">
      <c r="A607" s="30">
        <v>51.483646</v>
      </c>
      <c r="B607" s="30">
        <v>25.125432</v>
      </c>
      <c r="C607" s="30" t="str">
        <f t="shared" si="1"/>
        <v>51.483646 25.125432</v>
      </c>
      <c r="D607" s="30">
        <v>91.0</v>
      </c>
      <c r="E607" s="36" t="s">
        <v>323</v>
      </c>
      <c r="F607" s="40" t="s">
        <v>201</v>
      </c>
      <c r="G607" s="30" t="s">
        <v>190</v>
      </c>
      <c r="H607" s="33">
        <v>46097.0</v>
      </c>
      <c r="I607" s="30">
        <v>1280593.0</v>
      </c>
      <c r="J607" s="57" t="s">
        <v>1870</v>
      </c>
      <c r="K607" s="37" t="s">
        <v>202</v>
      </c>
      <c r="L607" s="63"/>
      <c r="M607" s="30">
        <v>3.0</v>
      </c>
      <c r="N607" s="57" t="s">
        <v>220</v>
      </c>
      <c r="O607" s="30" t="s">
        <v>194</v>
      </c>
      <c r="P607" s="30">
        <v>160.0</v>
      </c>
      <c r="Q607" s="30" t="s">
        <v>221</v>
      </c>
      <c r="R607" s="30" t="s">
        <v>222</v>
      </c>
      <c r="S607" s="30" t="s">
        <v>197</v>
      </c>
      <c r="T607" s="30" t="s">
        <v>1871</v>
      </c>
      <c r="U607" s="30">
        <v>2.119632E7</v>
      </c>
    </row>
    <row r="608">
      <c r="A608" s="30">
        <v>51.408685</v>
      </c>
      <c r="B608" s="30">
        <v>25.179705</v>
      </c>
      <c r="C608" s="30" t="str">
        <f t="shared" si="1"/>
        <v>51.408685 25.179705</v>
      </c>
      <c r="D608" s="30">
        <v>81.0</v>
      </c>
      <c r="E608" s="61" t="s">
        <v>1872</v>
      </c>
      <c r="F608" s="78" t="s">
        <v>1807</v>
      </c>
      <c r="G608" s="57" t="s">
        <v>190</v>
      </c>
      <c r="H608" s="33">
        <v>46107.0</v>
      </c>
      <c r="I608" s="30">
        <v>1445983.0</v>
      </c>
      <c r="J608" s="30" t="s">
        <v>201</v>
      </c>
      <c r="K608" s="62" t="s">
        <v>252</v>
      </c>
      <c r="L608" s="63"/>
      <c r="M608" s="30">
        <v>3.0</v>
      </c>
      <c r="N608" s="57" t="s">
        <v>356</v>
      </c>
      <c r="O608" s="30" t="s">
        <v>194</v>
      </c>
      <c r="P608" s="30">
        <v>160.0</v>
      </c>
      <c r="Q608" s="30" t="s">
        <v>221</v>
      </c>
      <c r="R608" s="30" t="s">
        <v>222</v>
      </c>
      <c r="S608" s="30" t="s">
        <v>197</v>
      </c>
      <c r="T608" s="30" t="s">
        <v>1873</v>
      </c>
      <c r="U608" s="30">
        <v>2.1208004E7</v>
      </c>
    </row>
    <row r="609">
      <c r="A609" s="30">
        <v>51.413731</v>
      </c>
      <c r="B609" s="30">
        <v>25.180076</v>
      </c>
      <c r="C609" s="30" t="str">
        <f t="shared" si="1"/>
        <v>51.413731 25.180076</v>
      </c>
      <c r="D609" s="30">
        <v>57.0</v>
      </c>
      <c r="E609" s="36" t="s">
        <v>1874</v>
      </c>
      <c r="F609" s="54" t="s">
        <v>1875</v>
      </c>
      <c r="G609" s="30" t="s">
        <v>190</v>
      </c>
      <c r="H609" s="55">
        <v>46076.0</v>
      </c>
      <c r="I609" s="34">
        <v>1390840.0</v>
      </c>
      <c r="J609" s="30" t="s">
        <v>201</v>
      </c>
      <c r="K609" s="43" t="s">
        <v>202</v>
      </c>
      <c r="L609" s="34" t="s">
        <v>195</v>
      </c>
      <c r="M609" s="30">
        <v>3.0</v>
      </c>
      <c r="N609" s="30" t="s">
        <v>356</v>
      </c>
      <c r="O609" s="30" t="s">
        <v>194</v>
      </c>
      <c r="P609" s="30">
        <v>160.0</v>
      </c>
      <c r="Q609" s="30" t="s">
        <v>221</v>
      </c>
      <c r="R609" s="30" t="s">
        <v>222</v>
      </c>
      <c r="S609" s="30" t="s">
        <v>197</v>
      </c>
      <c r="T609" s="30" t="s">
        <v>1876</v>
      </c>
      <c r="U609" s="30">
        <v>2.1208017E7</v>
      </c>
    </row>
    <row r="610">
      <c r="A610" s="30">
        <v>51.421337</v>
      </c>
      <c r="B610" s="30">
        <v>25.1813</v>
      </c>
      <c r="C610" s="30" t="str">
        <f t="shared" si="1"/>
        <v>51.421337 25.1813</v>
      </c>
      <c r="D610" s="30">
        <v>57.0</v>
      </c>
      <c r="E610" s="39" t="s">
        <v>1877</v>
      </c>
      <c r="F610" s="54" t="s">
        <v>1878</v>
      </c>
      <c r="G610" s="30" t="s">
        <v>190</v>
      </c>
      <c r="H610" s="55">
        <v>46080.0</v>
      </c>
      <c r="I610" s="37">
        <v>1390012.0</v>
      </c>
      <c r="J610" s="30" t="s">
        <v>201</v>
      </c>
      <c r="K610" s="43" t="s">
        <v>202</v>
      </c>
      <c r="L610" s="34" t="s">
        <v>195</v>
      </c>
      <c r="M610" s="30">
        <v>3.0</v>
      </c>
      <c r="N610" s="30" t="s">
        <v>356</v>
      </c>
      <c r="O610" s="30" t="s">
        <v>194</v>
      </c>
      <c r="P610" s="30">
        <v>160.0</v>
      </c>
      <c r="Q610" s="30" t="s">
        <v>221</v>
      </c>
      <c r="R610" s="30" t="s">
        <v>222</v>
      </c>
      <c r="S610" s="30" t="s">
        <v>197</v>
      </c>
      <c r="T610" s="30" t="s">
        <v>1879</v>
      </c>
      <c r="U610" s="30">
        <v>2.1208002E7</v>
      </c>
    </row>
    <row r="611">
      <c r="A611" s="30">
        <v>51.42825</v>
      </c>
      <c r="B611" s="30">
        <v>25.183628</v>
      </c>
      <c r="C611" s="30" t="str">
        <f t="shared" si="1"/>
        <v>51.42825 25.183628</v>
      </c>
      <c r="D611" s="30">
        <v>57.0</v>
      </c>
      <c r="E611" s="39" t="s">
        <v>1880</v>
      </c>
      <c r="F611" s="54" t="s">
        <v>1881</v>
      </c>
      <c r="G611" s="30" t="s">
        <v>190</v>
      </c>
      <c r="H611" s="55">
        <v>46080.0</v>
      </c>
      <c r="I611" s="37">
        <v>1390004.0</v>
      </c>
      <c r="J611" s="30" t="s">
        <v>201</v>
      </c>
      <c r="K611" s="43" t="s">
        <v>202</v>
      </c>
      <c r="L611" s="34" t="s">
        <v>195</v>
      </c>
      <c r="M611" s="30">
        <v>3.0</v>
      </c>
      <c r="N611" s="30" t="s">
        <v>356</v>
      </c>
      <c r="O611" s="30" t="s">
        <v>194</v>
      </c>
      <c r="P611" s="30">
        <v>160.0</v>
      </c>
      <c r="Q611" s="30" t="s">
        <v>221</v>
      </c>
      <c r="R611" s="30" t="s">
        <v>222</v>
      </c>
      <c r="S611" s="30" t="s">
        <v>197</v>
      </c>
      <c r="T611" s="30" t="s">
        <v>1882</v>
      </c>
      <c r="U611" s="30">
        <v>2.1208005E7</v>
      </c>
    </row>
    <row r="612">
      <c r="A612" s="30">
        <v>51.435287</v>
      </c>
      <c r="B612" s="30">
        <v>25.18525</v>
      </c>
      <c r="C612" s="30" t="str">
        <f t="shared" si="1"/>
        <v>51.435287 25.18525</v>
      </c>
      <c r="D612" s="30">
        <v>57.0</v>
      </c>
      <c r="E612" s="39" t="s">
        <v>1883</v>
      </c>
      <c r="F612" s="54" t="s">
        <v>1884</v>
      </c>
      <c r="G612" s="30" t="s">
        <v>190</v>
      </c>
      <c r="H612" s="55">
        <v>46080.0</v>
      </c>
      <c r="I612" s="37">
        <v>1389695.0</v>
      </c>
      <c r="J612" s="30" t="s">
        <v>201</v>
      </c>
      <c r="K612" s="43" t="s">
        <v>202</v>
      </c>
      <c r="L612" s="34" t="s">
        <v>195</v>
      </c>
      <c r="M612" s="30">
        <v>3.0</v>
      </c>
      <c r="N612" s="30" t="s">
        <v>356</v>
      </c>
      <c r="O612" s="30" t="s">
        <v>194</v>
      </c>
      <c r="P612" s="30">
        <v>160.0</v>
      </c>
      <c r="Q612" s="30" t="s">
        <v>253</v>
      </c>
      <c r="R612" s="30" t="s">
        <v>254</v>
      </c>
      <c r="S612" s="30" t="s">
        <v>197</v>
      </c>
      <c r="T612" s="30" t="s">
        <v>1885</v>
      </c>
      <c r="U612" s="30">
        <v>2.1208006E7</v>
      </c>
    </row>
    <row r="613">
      <c r="A613" s="30">
        <v>51.4411</v>
      </c>
      <c r="B613" s="30">
        <v>25.186976</v>
      </c>
      <c r="C613" s="30" t="str">
        <f t="shared" si="1"/>
        <v>51.4411 25.186976</v>
      </c>
      <c r="D613" s="30">
        <v>57.0</v>
      </c>
      <c r="E613" s="36" t="s">
        <v>499</v>
      </c>
      <c r="F613" s="40" t="s">
        <v>1886</v>
      </c>
      <c r="G613" s="30" t="s">
        <v>190</v>
      </c>
      <c r="H613" s="55">
        <v>46080.0</v>
      </c>
      <c r="I613" s="41">
        <v>1389691.0</v>
      </c>
      <c r="J613" s="30" t="s">
        <v>201</v>
      </c>
      <c r="K613" s="43" t="s">
        <v>202</v>
      </c>
      <c r="L613" s="34" t="s">
        <v>195</v>
      </c>
      <c r="M613" s="30">
        <v>3.0</v>
      </c>
      <c r="N613" s="30" t="s">
        <v>356</v>
      </c>
      <c r="O613" s="30" t="s">
        <v>194</v>
      </c>
      <c r="P613" s="30">
        <v>160.0</v>
      </c>
      <c r="Q613" s="30" t="s">
        <v>221</v>
      </c>
      <c r="R613" s="30" t="s">
        <v>222</v>
      </c>
      <c r="S613" s="30" t="s">
        <v>197</v>
      </c>
      <c r="T613" s="30" t="s">
        <v>1887</v>
      </c>
      <c r="U613" s="30">
        <v>2.1208007E7</v>
      </c>
    </row>
    <row r="614">
      <c r="A614" s="30">
        <v>51.444889</v>
      </c>
      <c r="B614" s="30">
        <v>25.18782</v>
      </c>
      <c r="C614" s="30" t="str">
        <f t="shared" si="1"/>
        <v>51.444889 25.18782</v>
      </c>
      <c r="D614" s="30">
        <v>57.0</v>
      </c>
      <c r="E614" s="39" t="s">
        <v>1110</v>
      </c>
      <c r="F614" s="54" t="s">
        <v>1888</v>
      </c>
      <c r="G614" s="30" t="s">
        <v>190</v>
      </c>
      <c r="H614" s="33">
        <v>46085.0</v>
      </c>
      <c r="I614" s="34">
        <v>1447696.0</v>
      </c>
      <c r="J614" s="30" t="s">
        <v>201</v>
      </c>
      <c r="K614" s="43" t="s">
        <v>202</v>
      </c>
      <c r="L614" s="34" t="s">
        <v>195</v>
      </c>
      <c r="M614" s="30">
        <v>3.0</v>
      </c>
      <c r="N614" s="30" t="s">
        <v>356</v>
      </c>
      <c r="O614" s="30" t="s">
        <v>194</v>
      </c>
      <c r="P614" s="30">
        <v>160.0</v>
      </c>
      <c r="Q614" s="30" t="s">
        <v>253</v>
      </c>
      <c r="R614" s="30" t="s">
        <v>254</v>
      </c>
      <c r="S614" s="30" t="s">
        <v>197</v>
      </c>
      <c r="T614" s="30" t="s">
        <v>1889</v>
      </c>
      <c r="U614" s="30">
        <v>2.1208008E7</v>
      </c>
    </row>
    <row r="615">
      <c r="A615" s="30">
        <v>51.447866</v>
      </c>
      <c r="B615" s="30">
        <v>25.189829</v>
      </c>
      <c r="C615" s="30" t="str">
        <f t="shared" si="1"/>
        <v>51.447866 25.189829</v>
      </c>
      <c r="D615" s="30">
        <v>57.0</v>
      </c>
      <c r="E615" s="36" t="s">
        <v>1890</v>
      </c>
      <c r="F615" s="32" t="s">
        <v>1891</v>
      </c>
      <c r="G615" s="30" t="s">
        <v>190</v>
      </c>
      <c r="H615" s="33">
        <v>46098.0</v>
      </c>
      <c r="I615" s="30">
        <v>1389778.0</v>
      </c>
      <c r="J615" s="30" t="s">
        <v>201</v>
      </c>
      <c r="K615" s="43" t="s">
        <v>202</v>
      </c>
      <c r="L615" s="35"/>
      <c r="M615" s="30">
        <v>3.0</v>
      </c>
      <c r="N615" s="30" t="s">
        <v>262</v>
      </c>
      <c r="O615" s="30" t="s">
        <v>194</v>
      </c>
      <c r="P615" s="30">
        <v>160.0</v>
      </c>
      <c r="Q615" s="30" t="s">
        <v>253</v>
      </c>
      <c r="R615" s="30" t="s">
        <v>254</v>
      </c>
      <c r="S615" s="30" t="s">
        <v>197</v>
      </c>
      <c r="T615" s="30" t="s">
        <v>1892</v>
      </c>
      <c r="U615" s="30">
        <v>2.1208009E7</v>
      </c>
    </row>
    <row r="616">
      <c r="A616" s="30">
        <v>51.447778</v>
      </c>
      <c r="B616" s="30">
        <v>25.18979</v>
      </c>
      <c r="C616" s="30" t="str">
        <f t="shared" si="1"/>
        <v>51.447778 25.18979</v>
      </c>
      <c r="D616" s="30">
        <v>57.0</v>
      </c>
      <c r="E616" s="36" t="s">
        <v>1893</v>
      </c>
      <c r="F616" s="32" t="s">
        <v>1894</v>
      </c>
      <c r="G616" s="30" t="s">
        <v>190</v>
      </c>
      <c r="H616" s="33">
        <v>46098.0</v>
      </c>
      <c r="I616" s="30">
        <v>1276481.0</v>
      </c>
      <c r="J616" s="30" t="s">
        <v>1895</v>
      </c>
      <c r="K616" s="37" t="s">
        <v>202</v>
      </c>
      <c r="L616" s="34" t="s">
        <v>195</v>
      </c>
      <c r="M616" s="30">
        <v>4.0</v>
      </c>
      <c r="N616" s="30" t="s">
        <v>216</v>
      </c>
      <c r="O616" s="30" t="s">
        <v>194</v>
      </c>
      <c r="P616" s="30">
        <v>160.0</v>
      </c>
      <c r="Q616" s="30" t="s">
        <v>221</v>
      </c>
      <c r="R616" s="30" t="s">
        <v>222</v>
      </c>
      <c r="S616" s="30" t="s">
        <v>197</v>
      </c>
      <c r="T616" s="30" t="s">
        <v>1896</v>
      </c>
      <c r="U616" s="30">
        <v>2.120801E7</v>
      </c>
    </row>
    <row r="617">
      <c r="A617" s="30">
        <v>51.451569</v>
      </c>
      <c r="B617" s="30">
        <v>25.191498</v>
      </c>
      <c r="C617" s="30" t="str">
        <f t="shared" si="1"/>
        <v>51.451569 25.191498</v>
      </c>
      <c r="D617" s="30">
        <v>57.0</v>
      </c>
      <c r="E617" s="36" t="s">
        <v>260</v>
      </c>
      <c r="F617" s="40" t="s">
        <v>1897</v>
      </c>
      <c r="G617" s="30" t="s">
        <v>190</v>
      </c>
      <c r="H617" s="33">
        <v>46077.0</v>
      </c>
      <c r="I617" s="41">
        <v>1445981.0</v>
      </c>
      <c r="J617" s="30" t="s">
        <v>201</v>
      </c>
      <c r="K617" s="43" t="s">
        <v>202</v>
      </c>
      <c r="L617" s="34" t="s">
        <v>195</v>
      </c>
      <c r="M617" s="30">
        <v>3.0</v>
      </c>
      <c r="N617" s="30" t="s">
        <v>356</v>
      </c>
      <c r="O617" s="30" t="s">
        <v>194</v>
      </c>
      <c r="P617" s="30">
        <v>160.0</v>
      </c>
      <c r="Q617" s="30" t="s">
        <v>221</v>
      </c>
      <c r="R617" s="30" t="s">
        <v>222</v>
      </c>
      <c r="S617" s="30" t="s">
        <v>197</v>
      </c>
      <c r="T617" s="30" t="s">
        <v>1898</v>
      </c>
      <c r="U617" s="30">
        <v>2.1208011E7</v>
      </c>
    </row>
    <row r="618">
      <c r="A618" s="30">
        <v>51.414808</v>
      </c>
      <c r="B618" s="30">
        <v>25.180625</v>
      </c>
      <c r="C618" s="30" t="str">
        <f t="shared" si="1"/>
        <v>51.414808 25.180625</v>
      </c>
      <c r="D618" s="30">
        <v>57.0</v>
      </c>
      <c r="E618" s="36" t="s">
        <v>471</v>
      </c>
      <c r="F618" s="32" t="s">
        <v>1899</v>
      </c>
      <c r="G618" s="30" t="s">
        <v>190</v>
      </c>
      <c r="H618" s="33">
        <v>46087.0</v>
      </c>
      <c r="I618" s="30">
        <v>1376736.0</v>
      </c>
      <c r="J618" s="30" t="s">
        <v>201</v>
      </c>
      <c r="K618" s="43" t="s">
        <v>202</v>
      </c>
      <c r="L618" s="35"/>
      <c r="M618" s="30">
        <v>3.0</v>
      </c>
      <c r="N618" s="30" t="s">
        <v>193</v>
      </c>
      <c r="O618" s="30" t="s">
        <v>194</v>
      </c>
      <c r="P618" s="30">
        <v>160.0</v>
      </c>
      <c r="Q618" s="30" t="s">
        <v>195</v>
      </c>
      <c r="R618" s="30" t="s">
        <v>196</v>
      </c>
      <c r="S618" s="30" t="s">
        <v>197</v>
      </c>
      <c r="T618" s="30" t="s">
        <v>1900</v>
      </c>
      <c r="U618" s="30">
        <v>2.1208012E7</v>
      </c>
    </row>
    <row r="619">
      <c r="A619" s="30">
        <v>51.423593</v>
      </c>
      <c r="B619" s="30">
        <v>25.181778</v>
      </c>
      <c r="C619" s="30" t="str">
        <f t="shared" si="1"/>
        <v>51.423593 25.181778</v>
      </c>
      <c r="D619" s="30">
        <v>57.0</v>
      </c>
      <c r="E619" s="36" t="s">
        <v>440</v>
      </c>
      <c r="F619" s="32" t="s">
        <v>201</v>
      </c>
      <c r="G619" s="30" t="s">
        <v>190</v>
      </c>
      <c r="H619" s="33">
        <v>46098.0</v>
      </c>
      <c r="I619" s="30">
        <v>1390010.0</v>
      </c>
      <c r="J619" s="30" t="s">
        <v>1901</v>
      </c>
      <c r="K619" s="37" t="s">
        <v>202</v>
      </c>
      <c r="L619" s="34" t="s">
        <v>195</v>
      </c>
      <c r="M619" s="30">
        <v>3.0</v>
      </c>
      <c r="N619" s="30" t="s">
        <v>216</v>
      </c>
      <c r="O619" s="30" t="s">
        <v>194</v>
      </c>
      <c r="P619" s="30">
        <v>160.0</v>
      </c>
      <c r="Q619" s="30" t="s">
        <v>221</v>
      </c>
      <c r="R619" s="30" t="s">
        <v>222</v>
      </c>
      <c r="S619" s="30" t="s">
        <v>197</v>
      </c>
      <c r="T619" s="30" t="s">
        <v>1902</v>
      </c>
      <c r="U619" s="30">
        <v>2.1208013E7</v>
      </c>
    </row>
    <row r="620">
      <c r="A620" s="30">
        <v>51.428441</v>
      </c>
      <c r="B620" s="30">
        <v>25.183632</v>
      </c>
      <c r="C620" s="30" t="str">
        <f t="shared" si="1"/>
        <v>51.428441 25.183632</v>
      </c>
      <c r="D620" s="30">
        <v>57.0</v>
      </c>
      <c r="E620" s="36" t="s">
        <v>1903</v>
      </c>
      <c r="F620" s="32" t="s">
        <v>1904</v>
      </c>
      <c r="G620" s="30" t="s">
        <v>190</v>
      </c>
      <c r="H620" s="33">
        <v>46099.0</v>
      </c>
      <c r="I620" s="30">
        <v>1390005.0</v>
      </c>
      <c r="J620" s="30" t="s">
        <v>1905</v>
      </c>
      <c r="K620" s="37" t="s">
        <v>202</v>
      </c>
      <c r="L620" s="34" t="s">
        <v>195</v>
      </c>
      <c r="M620" s="30">
        <v>3.0</v>
      </c>
      <c r="N620" s="30" t="s">
        <v>216</v>
      </c>
      <c r="O620" s="30" t="s">
        <v>194</v>
      </c>
      <c r="P620" s="30">
        <v>160.0</v>
      </c>
      <c r="Q620" s="30" t="s">
        <v>221</v>
      </c>
      <c r="R620" s="30" t="s">
        <v>222</v>
      </c>
      <c r="S620" s="30" t="s">
        <v>197</v>
      </c>
      <c r="T620" s="30" t="s">
        <v>1906</v>
      </c>
      <c r="U620" s="30">
        <v>2.1208014E7</v>
      </c>
    </row>
    <row r="621">
      <c r="A621" s="30">
        <v>51.436086</v>
      </c>
      <c r="B621" s="30">
        <v>25.185462</v>
      </c>
      <c r="C621" s="30" t="str">
        <f t="shared" si="1"/>
        <v>51.436086 25.185462</v>
      </c>
      <c r="D621" s="30">
        <v>57.0</v>
      </c>
      <c r="E621" s="36" t="s">
        <v>454</v>
      </c>
      <c r="F621" s="32" t="s">
        <v>201</v>
      </c>
      <c r="G621" s="30" t="s">
        <v>190</v>
      </c>
      <c r="H621" s="33">
        <v>46099.0</v>
      </c>
      <c r="I621" s="30">
        <v>1389694.0</v>
      </c>
      <c r="J621" s="30" t="s">
        <v>1907</v>
      </c>
      <c r="K621" s="37" t="s">
        <v>202</v>
      </c>
      <c r="L621" s="34" t="s">
        <v>195</v>
      </c>
      <c r="M621" s="30">
        <v>3.0</v>
      </c>
      <c r="N621" s="30" t="s">
        <v>216</v>
      </c>
      <c r="O621" s="30" t="s">
        <v>194</v>
      </c>
      <c r="P621" s="30">
        <v>160.0</v>
      </c>
      <c r="Q621" s="30" t="s">
        <v>195</v>
      </c>
      <c r="R621" s="30" t="s">
        <v>196</v>
      </c>
      <c r="S621" s="30" t="s">
        <v>197</v>
      </c>
      <c r="T621" s="30" t="s">
        <v>1908</v>
      </c>
      <c r="U621" s="30">
        <v>2.1208015E7</v>
      </c>
    </row>
    <row r="622">
      <c r="A622" s="30">
        <v>51.441827</v>
      </c>
      <c r="B622" s="30">
        <v>25.187243</v>
      </c>
      <c r="C622" s="30" t="str">
        <f t="shared" si="1"/>
        <v>51.441827 25.187243</v>
      </c>
      <c r="D622" s="30">
        <v>57.0</v>
      </c>
      <c r="E622" s="36" t="s">
        <v>1909</v>
      </c>
      <c r="F622" s="40" t="s">
        <v>201</v>
      </c>
      <c r="G622" s="30" t="s">
        <v>190</v>
      </c>
      <c r="H622" s="33">
        <v>46077.0</v>
      </c>
      <c r="I622" s="41">
        <v>1389689.0</v>
      </c>
      <c r="J622" s="30" t="s">
        <v>201</v>
      </c>
      <c r="K622" s="43" t="s">
        <v>202</v>
      </c>
      <c r="L622" s="34" t="s">
        <v>195</v>
      </c>
      <c r="M622" s="30">
        <v>3.0</v>
      </c>
      <c r="N622" s="30" t="s">
        <v>356</v>
      </c>
      <c r="O622" s="30" t="s">
        <v>194</v>
      </c>
      <c r="P622" s="30">
        <v>160.0</v>
      </c>
      <c r="Q622" s="30" t="s">
        <v>195</v>
      </c>
      <c r="R622" s="30" t="s">
        <v>254</v>
      </c>
      <c r="S622" s="30" t="s">
        <v>197</v>
      </c>
      <c r="T622" s="30" t="s">
        <v>1910</v>
      </c>
      <c r="U622" s="30">
        <v>2.1208016E7</v>
      </c>
    </row>
    <row r="623">
      <c r="A623" s="30">
        <v>51.446304</v>
      </c>
      <c r="B623" s="30">
        <v>25.188973</v>
      </c>
      <c r="C623" s="30" t="str">
        <f t="shared" si="1"/>
        <v>51.446304 25.188973</v>
      </c>
      <c r="D623" s="30">
        <v>57.0</v>
      </c>
      <c r="E623" s="36" t="s">
        <v>1911</v>
      </c>
      <c r="F623" s="40" t="s">
        <v>201</v>
      </c>
      <c r="G623" s="30" t="s">
        <v>190</v>
      </c>
      <c r="H623" s="33">
        <v>46077.0</v>
      </c>
      <c r="I623" s="41">
        <v>1389685.0</v>
      </c>
      <c r="J623" s="30" t="s">
        <v>201</v>
      </c>
      <c r="K623" s="43" t="s">
        <v>202</v>
      </c>
      <c r="L623" s="34" t="s">
        <v>195</v>
      </c>
      <c r="M623" s="30">
        <v>3.0</v>
      </c>
      <c r="N623" s="30" t="s">
        <v>356</v>
      </c>
      <c r="O623" s="30" t="s">
        <v>194</v>
      </c>
      <c r="P623" s="30">
        <v>160.0</v>
      </c>
      <c r="Q623" s="30" t="s">
        <v>195</v>
      </c>
      <c r="R623" s="30" t="s">
        <v>254</v>
      </c>
      <c r="S623" s="30" t="s">
        <v>197</v>
      </c>
      <c r="T623" s="30" t="s">
        <v>1912</v>
      </c>
      <c r="U623" s="30">
        <v>2.1208003E7</v>
      </c>
    </row>
    <row r="624">
      <c r="A624" s="71">
        <v>51.515571</v>
      </c>
      <c r="B624" s="71">
        <v>25.320865</v>
      </c>
      <c r="C624" s="30" t="str">
        <f t="shared" si="1"/>
        <v>51.515571 25.320865</v>
      </c>
      <c r="D624" s="71">
        <v>63.0</v>
      </c>
      <c r="E624" s="72" t="s">
        <v>440</v>
      </c>
      <c r="F624" s="73" t="s">
        <v>1913</v>
      </c>
      <c r="G624" s="30" t="s">
        <v>190</v>
      </c>
      <c r="H624" s="74">
        <v>46106.0</v>
      </c>
      <c r="I624" s="71" t="s">
        <v>1914</v>
      </c>
      <c r="J624" s="30" t="s">
        <v>1915</v>
      </c>
      <c r="K624" s="34" t="s">
        <v>202</v>
      </c>
      <c r="L624" s="35"/>
      <c r="M624" s="30">
        <v>3.0</v>
      </c>
      <c r="N624" s="71" t="s">
        <v>356</v>
      </c>
      <c r="O624" s="71" t="s">
        <v>194</v>
      </c>
      <c r="P624" s="71">
        <v>160.0</v>
      </c>
      <c r="Q624" s="75" t="s">
        <v>195</v>
      </c>
      <c r="R624" s="71" t="s">
        <v>222</v>
      </c>
      <c r="S624" s="71" t="s">
        <v>197</v>
      </c>
      <c r="T624" s="72" t="s">
        <v>440</v>
      </c>
      <c r="U624" s="71">
        <v>2.1402487E7</v>
      </c>
    </row>
    <row r="625">
      <c r="A625" s="71">
        <v>51.522238</v>
      </c>
      <c r="B625" s="71">
        <v>25.320381</v>
      </c>
      <c r="C625" s="30" t="str">
        <f t="shared" si="1"/>
        <v>51.522238 25.320381</v>
      </c>
      <c r="D625" s="71">
        <v>63.0</v>
      </c>
      <c r="E625" s="72" t="s">
        <v>323</v>
      </c>
      <c r="F625" s="73" t="s">
        <v>455</v>
      </c>
      <c r="G625" s="30" t="s">
        <v>190</v>
      </c>
      <c r="H625" s="74">
        <v>46106.0</v>
      </c>
      <c r="I625" s="71" t="s">
        <v>1916</v>
      </c>
      <c r="J625" s="30" t="s">
        <v>1917</v>
      </c>
      <c r="K625" s="34" t="s">
        <v>202</v>
      </c>
      <c r="L625" s="35"/>
      <c r="M625" s="30">
        <v>3.0</v>
      </c>
      <c r="N625" s="71" t="s">
        <v>356</v>
      </c>
      <c r="O625" s="71" t="s">
        <v>194</v>
      </c>
      <c r="P625" s="71">
        <v>160.0</v>
      </c>
      <c r="Q625" s="75" t="s">
        <v>195</v>
      </c>
      <c r="R625" s="71" t="s">
        <v>222</v>
      </c>
      <c r="S625" s="71" t="s">
        <v>197</v>
      </c>
      <c r="T625" s="72" t="s">
        <v>323</v>
      </c>
      <c r="U625" s="71">
        <v>2.1402488E7</v>
      </c>
    </row>
    <row r="626">
      <c r="A626" s="71">
        <v>51.520265</v>
      </c>
      <c r="B626" s="71">
        <v>25.318085</v>
      </c>
      <c r="C626" s="30" t="str">
        <f t="shared" si="1"/>
        <v>51.520265 25.318085</v>
      </c>
      <c r="D626" s="71">
        <v>63.0</v>
      </c>
      <c r="E626" s="72" t="s">
        <v>260</v>
      </c>
      <c r="F626" s="73" t="s">
        <v>1918</v>
      </c>
      <c r="G626" s="30" t="s">
        <v>190</v>
      </c>
      <c r="H626" s="74">
        <v>46106.0</v>
      </c>
      <c r="I626" s="71" t="s">
        <v>1919</v>
      </c>
      <c r="J626" s="30" t="s">
        <v>1920</v>
      </c>
      <c r="K626" s="34" t="s">
        <v>202</v>
      </c>
      <c r="L626" s="35"/>
      <c r="M626" s="30">
        <v>3.0</v>
      </c>
      <c r="N626" s="71" t="s">
        <v>356</v>
      </c>
      <c r="O626" s="71" t="s">
        <v>194</v>
      </c>
      <c r="P626" s="71">
        <v>160.0</v>
      </c>
      <c r="Q626" s="75" t="s">
        <v>195</v>
      </c>
      <c r="R626" s="71" t="s">
        <v>222</v>
      </c>
      <c r="S626" s="71" t="s">
        <v>197</v>
      </c>
      <c r="T626" s="72" t="s">
        <v>260</v>
      </c>
      <c r="U626" s="71">
        <v>2.1402489E7</v>
      </c>
    </row>
    <row r="627">
      <c r="A627" s="71">
        <v>51.517058</v>
      </c>
      <c r="B627" s="71">
        <v>25.31413</v>
      </c>
      <c r="C627" s="30" t="str">
        <f t="shared" si="1"/>
        <v>51.517058 25.31413</v>
      </c>
      <c r="D627" s="71">
        <v>63.0</v>
      </c>
      <c r="E627" s="72" t="s">
        <v>440</v>
      </c>
      <c r="F627" s="73" t="s">
        <v>1807</v>
      </c>
      <c r="G627" s="30" t="s">
        <v>190</v>
      </c>
      <c r="H627" s="74">
        <v>46106.0</v>
      </c>
      <c r="I627" s="71" t="s">
        <v>1921</v>
      </c>
      <c r="J627" s="30" t="s">
        <v>1922</v>
      </c>
      <c r="K627" s="34" t="s">
        <v>202</v>
      </c>
      <c r="L627" s="35"/>
      <c r="M627" s="30">
        <v>3.0</v>
      </c>
      <c r="N627" s="71" t="s">
        <v>356</v>
      </c>
      <c r="O627" s="71" t="s">
        <v>194</v>
      </c>
      <c r="P627" s="71">
        <v>160.0</v>
      </c>
      <c r="Q627" s="75" t="s">
        <v>195</v>
      </c>
      <c r="R627" s="71" t="s">
        <v>222</v>
      </c>
      <c r="S627" s="71" t="s">
        <v>197</v>
      </c>
      <c r="T627" s="72" t="s">
        <v>440</v>
      </c>
      <c r="U627" s="71">
        <v>2.140249E7</v>
      </c>
    </row>
    <row r="628">
      <c r="A628" s="71">
        <v>51.524234</v>
      </c>
      <c r="B628" s="71">
        <v>25.320954</v>
      </c>
      <c r="C628" s="30" t="str">
        <f t="shared" si="1"/>
        <v>51.524234 25.320954</v>
      </c>
      <c r="D628" s="71">
        <v>63.0</v>
      </c>
      <c r="E628" s="72" t="s">
        <v>310</v>
      </c>
      <c r="F628" s="73" t="s">
        <v>1923</v>
      </c>
      <c r="G628" s="30" t="s">
        <v>190</v>
      </c>
      <c r="H628" s="74">
        <v>46106.0</v>
      </c>
      <c r="I628" s="71" t="s">
        <v>1924</v>
      </c>
      <c r="J628" s="30" t="s">
        <v>1925</v>
      </c>
      <c r="K628" s="34" t="s">
        <v>202</v>
      </c>
      <c r="L628" s="35"/>
      <c r="M628" s="30">
        <v>3.0</v>
      </c>
      <c r="N628" s="71" t="s">
        <v>356</v>
      </c>
      <c r="O628" s="71" t="s">
        <v>194</v>
      </c>
      <c r="P628" s="71">
        <v>160.0</v>
      </c>
      <c r="Q628" s="75" t="s">
        <v>195</v>
      </c>
      <c r="R628" s="71" t="s">
        <v>222</v>
      </c>
      <c r="S628" s="71" t="s">
        <v>197</v>
      </c>
      <c r="T628" s="72" t="s">
        <v>310</v>
      </c>
      <c r="U628" s="71">
        <v>2.1402491E7</v>
      </c>
    </row>
    <row r="629">
      <c r="A629" s="71">
        <v>51.51751</v>
      </c>
      <c r="B629" s="71">
        <v>25.317805</v>
      </c>
      <c r="C629" s="30" t="str">
        <f t="shared" si="1"/>
        <v>51.51751 25.317805</v>
      </c>
      <c r="D629" s="71">
        <v>63.0</v>
      </c>
      <c r="E629" s="72" t="s">
        <v>454</v>
      </c>
      <c r="F629" s="73" t="s">
        <v>1926</v>
      </c>
      <c r="G629" s="30" t="s">
        <v>190</v>
      </c>
      <c r="H629" s="74">
        <v>46106.0</v>
      </c>
      <c r="I629" s="71" t="s">
        <v>1927</v>
      </c>
      <c r="J629" s="30" t="s">
        <v>1925</v>
      </c>
      <c r="K629" s="34" t="s">
        <v>202</v>
      </c>
      <c r="L629" s="35"/>
      <c r="M629" s="30">
        <v>3.0</v>
      </c>
      <c r="N629" s="71" t="s">
        <v>356</v>
      </c>
      <c r="O629" s="71" t="s">
        <v>194</v>
      </c>
      <c r="P629" s="71">
        <v>160.0</v>
      </c>
      <c r="Q629" s="75" t="s">
        <v>195</v>
      </c>
      <c r="R629" s="71" t="s">
        <v>222</v>
      </c>
      <c r="S629" s="71" t="s">
        <v>197</v>
      </c>
      <c r="T629" s="72" t="s">
        <v>454</v>
      </c>
      <c r="U629" s="71">
        <v>2.1402492E7</v>
      </c>
    </row>
    <row r="630">
      <c r="A630" s="71">
        <v>51.528086</v>
      </c>
      <c r="B630" s="71">
        <v>25.325701</v>
      </c>
      <c r="C630" s="30" t="str">
        <f t="shared" si="1"/>
        <v>51.528086 25.325701</v>
      </c>
      <c r="D630" s="71">
        <v>61.0</v>
      </c>
      <c r="E630" s="72" t="s">
        <v>260</v>
      </c>
      <c r="F630" s="73" t="s">
        <v>1235</v>
      </c>
      <c r="G630" s="30" t="s">
        <v>190</v>
      </c>
      <c r="H630" s="74">
        <v>46106.0</v>
      </c>
      <c r="I630" s="71">
        <v>1391026.0</v>
      </c>
      <c r="J630" s="30" t="s">
        <v>201</v>
      </c>
      <c r="K630" s="34" t="s">
        <v>202</v>
      </c>
      <c r="L630" s="35"/>
      <c r="M630" s="30">
        <v>3.0</v>
      </c>
      <c r="N630" s="71" t="s">
        <v>356</v>
      </c>
      <c r="O630" s="71" t="s">
        <v>194</v>
      </c>
      <c r="P630" s="71">
        <v>160.0</v>
      </c>
      <c r="Q630" s="75" t="s">
        <v>195</v>
      </c>
      <c r="R630" s="71" t="s">
        <v>222</v>
      </c>
      <c r="S630" s="71" t="s">
        <v>197</v>
      </c>
      <c r="T630" s="72" t="s">
        <v>260</v>
      </c>
      <c r="U630" s="71">
        <v>2.1402493E7</v>
      </c>
    </row>
    <row r="631">
      <c r="A631" s="71">
        <v>51.527686</v>
      </c>
      <c r="B631" s="71">
        <v>25.319973</v>
      </c>
      <c r="C631" s="30" t="str">
        <f t="shared" si="1"/>
        <v>51.527686 25.319973</v>
      </c>
      <c r="D631" s="71">
        <v>63.0</v>
      </c>
      <c r="E631" s="72" t="s">
        <v>454</v>
      </c>
      <c r="F631" s="73" t="s">
        <v>1292</v>
      </c>
      <c r="G631" s="30" t="s">
        <v>190</v>
      </c>
      <c r="H631" s="74">
        <v>46106.0</v>
      </c>
      <c r="I631" s="71">
        <v>1391028.0</v>
      </c>
      <c r="J631" s="30" t="s">
        <v>201</v>
      </c>
      <c r="K631" s="34" t="s">
        <v>202</v>
      </c>
      <c r="L631" s="35"/>
      <c r="M631" s="30">
        <v>3.0</v>
      </c>
      <c r="N631" s="71" t="s">
        <v>356</v>
      </c>
      <c r="O631" s="71" t="s">
        <v>194</v>
      </c>
      <c r="P631" s="71">
        <v>160.0</v>
      </c>
      <c r="Q631" s="75" t="s">
        <v>195</v>
      </c>
      <c r="R631" s="71" t="s">
        <v>222</v>
      </c>
      <c r="S631" s="71" t="s">
        <v>197</v>
      </c>
      <c r="T631" s="72" t="s">
        <v>454</v>
      </c>
      <c r="U631" s="71">
        <v>2.1402494E7</v>
      </c>
    </row>
    <row r="632">
      <c r="A632" s="30">
        <v>51.513124</v>
      </c>
      <c r="B632" s="30">
        <v>25.246321</v>
      </c>
      <c r="C632" s="30" t="str">
        <f t="shared" si="1"/>
        <v>51.513124 25.246321</v>
      </c>
      <c r="D632" s="30">
        <v>43.0</v>
      </c>
      <c r="E632" s="36" t="s">
        <v>1928</v>
      </c>
      <c r="F632" s="32" t="s">
        <v>1929</v>
      </c>
      <c r="G632" s="30" t="s">
        <v>190</v>
      </c>
      <c r="H632" s="33">
        <v>46090.0</v>
      </c>
      <c r="I632" s="30">
        <v>1374027.0</v>
      </c>
      <c r="J632" s="30" t="s">
        <v>201</v>
      </c>
      <c r="K632" s="34" t="s">
        <v>650</v>
      </c>
      <c r="L632" s="35"/>
      <c r="M632" s="30">
        <v>2.0</v>
      </c>
      <c r="N632" s="30" t="s">
        <v>1930</v>
      </c>
      <c r="O632" s="30" t="s">
        <v>194</v>
      </c>
      <c r="P632" s="30">
        <v>160.0</v>
      </c>
      <c r="Q632" s="30" t="s">
        <v>221</v>
      </c>
      <c r="R632" s="30" t="s">
        <v>222</v>
      </c>
      <c r="S632" s="30" t="s">
        <v>197</v>
      </c>
      <c r="T632" s="30" t="s">
        <v>1931</v>
      </c>
      <c r="U632" s="30">
        <v>2.143651E7</v>
      </c>
    </row>
    <row r="633">
      <c r="A633" s="30">
        <v>51.518213</v>
      </c>
      <c r="B633" s="30">
        <v>25.240955</v>
      </c>
      <c r="C633" s="30" t="str">
        <f t="shared" si="1"/>
        <v>51.518213 25.240955</v>
      </c>
      <c r="D633" s="30">
        <v>43.0</v>
      </c>
      <c r="E633" s="36" t="s">
        <v>1932</v>
      </c>
      <c r="F633" s="32" t="s">
        <v>1933</v>
      </c>
      <c r="G633" s="30" t="s">
        <v>657</v>
      </c>
      <c r="H633" s="33">
        <v>46097.0</v>
      </c>
      <c r="I633" s="30" t="s">
        <v>201</v>
      </c>
      <c r="J633" s="30" t="s">
        <v>201</v>
      </c>
      <c r="K633" s="43" t="s">
        <v>202</v>
      </c>
      <c r="L633" s="35"/>
      <c r="M633" s="30">
        <v>3.0</v>
      </c>
      <c r="N633" s="30" t="s">
        <v>356</v>
      </c>
      <c r="O633" s="30" t="s">
        <v>194</v>
      </c>
      <c r="P633" s="30">
        <v>160.0</v>
      </c>
      <c r="Q633" s="30" t="s">
        <v>221</v>
      </c>
      <c r="R633" s="30" t="s">
        <v>222</v>
      </c>
      <c r="S633" s="30" t="s">
        <v>197</v>
      </c>
      <c r="T633" s="30" t="s">
        <v>1934</v>
      </c>
      <c r="U633" s="30">
        <v>2.1436511E7</v>
      </c>
    </row>
    <row r="634">
      <c r="A634" s="71">
        <v>51.524009</v>
      </c>
      <c r="B634" s="71">
        <v>25.236675</v>
      </c>
      <c r="C634" s="30" t="str">
        <f t="shared" si="1"/>
        <v>51.524009 25.236675</v>
      </c>
      <c r="D634" s="71">
        <v>46.0</v>
      </c>
      <c r="E634" s="99" t="s">
        <v>1935</v>
      </c>
      <c r="F634" s="73" t="s">
        <v>1936</v>
      </c>
      <c r="G634" s="30" t="s">
        <v>190</v>
      </c>
      <c r="H634" s="74">
        <v>46106.0</v>
      </c>
      <c r="I634" s="71">
        <v>1374392.0</v>
      </c>
      <c r="J634" s="30" t="s">
        <v>201</v>
      </c>
      <c r="K634" s="37" t="s">
        <v>202</v>
      </c>
      <c r="L634" s="35"/>
      <c r="M634" s="30">
        <v>2.0</v>
      </c>
      <c r="N634" s="71" t="s">
        <v>220</v>
      </c>
      <c r="O634" s="71" t="s">
        <v>194</v>
      </c>
      <c r="P634" s="71">
        <v>160.0</v>
      </c>
      <c r="Q634" s="75" t="s">
        <v>195</v>
      </c>
      <c r="R634" s="71" t="s">
        <v>222</v>
      </c>
      <c r="S634" s="71" t="s">
        <v>197</v>
      </c>
      <c r="T634" s="71" t="s">
        <v>1937</v>
      </c>
      <c r="U634" s="71">
        <v>2.1436512E7</v>
      </c>
    </row>
    <row r="635">
      <c r="A635" s="30">
        <v>51.517325</v>
      </c>
      <c r="B635" s="30">
        <v>25.232408</v>
      </c>
      <c r="C635" s="30" t="str">
        <f t="shared" si="1"/>
        <v>51.517325 25.232408</v>
      </c>
      <c r="D635" s="30">
        <v>56.0</v>
      </c>
      <c r="E635" s="36" t="s">
        <v>1938</v>
      </c>
      <c r="F635" s="32" t="s">
        <v>1939</v>
      </c>
      <c r="G635" s="30" t="s">
        <v>190</v>
      </c>
      <c r="H635" s="33">
        <v>46092.0</v>
      </c>
      <c r="I635" s="30">
        <v>1373979.0</v>
      </c>
      <c r="J635" s="30" t="s">
        <v>1940</v>
      </c>
      <c r="K635" s="34" t="s">
        <v>645</v>
      </c>
      <c r="L635" s="30" t="s">
        <v>195</v>
      </c>
      <c r="M635" s="30">
        <v>3.0</v>
      </c>
      <c r="N635" s="30" t="s">
        <v>465</v>
      </c>
      <c r="O635" s="30" t="s">
        <v>194</v>
      </c>
      <c r="P635" s="30">
        <v>160.0</v>
      </c>
      <c r="Q635" s="30" t="s">
        <v>221</v>
      </c>
      <c r="R635" s="30" t="s">
        <v>222</v>
      </c>
      <c r="S635" s="30" t="s">
        <v>197</v>
      </c>
      <c r="T635" s="30" t="s">
        <v>1941</v>
      </c>
      <c r="U635" s="30">
        <v>2.1436513E7</v>
      </c>
    </row>
    <row r="636">
      <c r="A636" s="30">
        <v>51.519844</v>
      </c>
      <c r="B636" s="30">
        <v>25.234424</v>
      </c>
      <c r="C636" s="30" t="str">
        <f t="shared" si="1"/>
        <v>51.519844 25.234424</v>
      </c>
      <c r="D636" s="30">
        <v>56.0</v>
      </c>
      <c r="E636" s="36" t="s">
        <v>1942</v>
      </c>
      <c r="F636" s="32" t="s">
        <v>1943</v>
      </c>
      <c r="G636" s="30" t="s">
        <v>190</v>
      </c>
      <c r="H636" s="33">
        <v>46092.0</v>
      </c>
      <c r="I636" s="30">
        <v>1370855.0</v>
      </c>
      <c r="J636" s="30" t="s">
        <v>1944</v>
      </c>
      <c r="K636" s="34" t="s">
        <v>645</v>
      </c>
      <c r="L636" s="30" t="s">
        <v>446</v>
      </c>
      <c r="M636" s="30">
        <v>3.0</v>
      </c>
      <c r="N636" s="30" t="s">
        <v>465</v>
      </c>
      <c r="O636" s="30" t="s">
        <v>194</v>
      </c>
      <c r="P636" s="30">
        <v>160.0</v>
      </c>
      <c r="Q636" s="30" t="s">
        <v>1050</v>
      </c>
      <c r="R636" s="30" t="s">
        <v>1051</v>
      </c>
      <c r="S636" s="30" t="s">
        <v>197</v>
      </c>
      <c r="T636" s="30" t="s">
        <v>1945</v>
      </c>
      <c r="U636" s="30">
        <v>2.1436514E7</v>
      </c>
    </row>
    <row r="637">
      <c r="A637" s="30">
        <v>51.523926</v>
      </c>
      <c r="B637" s="30">
        <v>25.250459</v>
      </c>
      <c r="C637" s="30" t="str">
        <f t="shared" si="1"/>
        <v>51.523926 25.250459</v>
      </c>
      <c r="D637" s="30">
        <v>43.0</v>
      </c>
      <c r="E637" s="36" t="s">
        <v>440</v>
      </c>
      <c r="F637" s="32" t="s">
        <v>1946</v>
      </c>
      <c r="G637" s="30" t="s">
        <v>190</v>
      </c>
      <c r="H637" s="33">
        <v>46097.0</v>
      </c>
      <c r="I637" s="30" t="s">
        <v>201</v>
      </c>
      <c r="J637" s="30" t="s">
        <v>201</v>
      </c>
      <c r="K637" s="43" t="s">
        <v>202</v>
      </c>
      <c r="L637" s="35"/>
      <c r="M637" s="30">
        <v>3.0</v>
      </c>
      <c r="N637" s="30" t="s">
        <v>356</v>
      </c>
      <c r="O637" s="30" t="s">
        <v>194</v>
      </c>
      <c r="P637" s="30">
        <v>160.0</v>
      </c>
      <c r="Q637" s="30" t="s">
        <v>221</v>
      </c>
      <c r="R637" s="30" t="s">
        <v>222</v>
      </c>
      <c r="S637" s="30" t="s">
        <v>197</v>
      </c>
      <c r="T637" s="30" t="s">
        <v>1947</v>
      </c>
      <c r="U637" s="30">
        <v>2.1436515E7</v>
      </c>
    </row>
    <row r="638">
      <c r="A638" s="30">
        <v>51.532919</v>
      </c>
      <c r="B638" s="30">
        <v>25.223794</v>
      </c>
      <c r="C638" s="30" t="str">
        <f t="shared" si="1"/>
        <v>51.532919 25.223794</v>
      </c>
      <c r="D638" s="34">
        <v>56.0</v>
      </c>
      <c r="E638" s="53" t="s">
        <v>440</v>
      </c>
      <c r="F638" s="54" t="s">
        <v>1948</v>
      </c>
      <c r="G638" s="34" t="s">
        <v>190</v>
      </c>
      <c r="H638" s="55">
        <v>46091.0</v>
      </c>
      <c r="I638" s="34">
        <v>1373966.0</v>
      </c>
      <c r="J638" s="30" t="s">
        <v>201</v>
      </c>
      <c r="K638" s="43" t="s">
        <v>202</v>
      </c>
      <c r="L638" s="34" t="s">
        <v>195</v>
      </c>
      <c r="M638" s="34">
        <v>3.0</v>
      </c>
      <c r="N638" s="30" t="s">
        <v>356</v>
      </c>
      <c r="O638" s="30" t="s">
        <v>194</v>
      </c>
      <c r="P638" s="30">
        <v>160.0</v>
      </c>
      <c r="Q638" s="30" t="s">
        <v>195</v>
      </c>
      <c r="R638" s="30" t="s">
        <v>196</v>
      </c>
      <c r="S638" s="30" t="s">
        <v>197</v>
      </c>
      <c r="T638" s="30" t="s">
        <v>1949</v>
      </c>
      <c r="U638" s="30">
        <v>2.1436516E7</v>
      </c>
    </row>
    <row r="639">
      <c r="A639" s="30">
        <v>51.53506</v>
      </c>
      <c r="B639" s="30">
        <v>25.220243</v>
      </c>
      <c r="C639" s="30" t="str">
        <f t="shared" si="1"/>
        <v>51.53506 25.220243</v>
      </c>
      <c r="D639" s="30">
        <v>56.0</v>
      </c>
      <c r="E639" s="36" t="s">
        <v>1950</v>
      </c>
      <c r="F639" s="32" t="s">
        <v>1951</v>
      </c>
      <c r="G639" s="30" t="s">
        <v>190</v>
      </c>
      <c r="H639" s="33">
        <v>46091.0</v>
      </c>
      <c r="I639" s="30">
        <v>1370843.0</v>
      </c>
      <c r="J639" s="30" t="s">
        <v>1952</v>
      </c>
      <c r="K639" s="34" t="s">
        <v>645</v>
      </c>
      <c r="L639" s="30" t="s">
        <v>195</v>
      </c>
      <c r="M639" s="30">
        <v>3.0</v>
      </c>
      <c r="N639" s="30" t="s">
        <v>465</v>
      </c>
      <c r="O639" s="30" t="s">
        <v>194</v>
      </c>
      <c r="P639" s="30">
        <v>160.0</v>
      </c>
      <c r="Q639" s="30" t="s">
        <v>195</v>
      </c>
      <c r="R639" s="30" t="s">
        <v>196</v>
      </c>
      <c r="S639" s="30" t="s">
        <v>197</v>
      </c>
      <c r="T639" s="30" t="s">
        <v>1953</v>
      </c>
      <c r="U639" s="30">
        <v>2.1436517E7</v>
      </c>
    </row>
    <row r="640">
      <c r="A640" s="30">
        <v>51.539091</v>
      </c>
      <c r="B640" s="30">
        <v>25.211891</v>
      </c>
      <c r="C640" s="30" t="str">
        <f t="shared" si="1"/>
        <v>51.539091 25.211891</v>
      </c>
      <c r="D640" s="30">
        <v>50.0</v>
      </c>
      <c r="E640" s="36" t="s">
        <v>1954</v>
      </c>
      <c r="F640" s="32" t="s">
        <v>1955</v>
      </c>
      <c r="G640" s="30" t="s">
        <v>190</v>
      </c>
      <c r="H640" s="33">
        <v>46093.0</v>
      </c>
      <c r="I640" s="30">
        <v>1370835.0</v>
      </c>
      <c r="J640" s="30" t="s">
        <v>1956</v>
      </c>
      <c r="K640" s="34" t="s">
        <v>291</v>
      </c>
      <c r="L640" s="30" t="s">
        <v>365</v>
      </c>
      <c r="M640" s="30">
        <v>3.0</v>
      </c>
      <c r="N640" s="30" t="s">
        <v>216</v>
      </c>
      <c r="O640" s="30" t="s">
        <v>194</v>
      </c>
      <c r="P640" s="30">
        <v>160.0</v>
      </c>
      <c r="Q640" s="30" t="s">
        <v>221</v>
      </c>
      <c r="R640" s="30" t="s">
        <v>222</v>
      </c>
      <c r="S640" s="30" t="s">
        <v>197</v>
      </c>
      <c r="T640" s="30" t="s">
        <v>1957</v>
      </c>
      <c r="U640" s="30">
        <v>2.1436518E7</v>
      </c>
    </row>
    <row r="641">
      <c r="A641" s="30">
        <v>51.52445</v>
      </c>
      <c r="B641" s="30">
        <v>25.218959</v>
      </c>
      <c r="C641" s="30" t="str">
        <f t="shared" si="1"/>
        <v>51.52445 25.218959</v>
      </c>
      <c r="D641" s="30">
        <v>56.0</v>
      </c>
      <c r="E641" s="36" t="s">
        <v>440</v>
      </c>
      <c r="F641" s="32" t="s">
        <v>1958</v>
      </c>
      <c r="G641" s="30" t="s">
        <v>190</v>
      </c>
      <c r="H641" s="33">
        <v>46086.0</v>
      </c>
      <c r="I641" s="30" t="s">
        <v>201</v>
      </c>
      <c r="J641" s="30" t="s">
        <v>1959</v>
      </c>
      <c r="K641" s="34" t="s">
        <v>645</v>
      </c>
      <c r="L641" s="30" t="s">
        <v>195</v>
      </c>
      <c r="M641" s="30">
        <v>3.0</v>
      </c>
      <c r="N641" s="30" t="s">
        <v>216</v>
      </c>
      <c r="O641" s="30" t="s">
        <v>194</v>
      </c>
      <c r="P641" s="30">
        <v>160.0</v>
      </c>
      <c r="Q641" s="30" t="s">
        <v>221</v>
      </c>
      <c r="R641" s="30" t="s">
        <v>222</v>
      </c>
      <c r="S641" s="30" t="s">
        <v>197</v>
      </c>
      <c r="T641" s="30" t="s">
        <v>1960</v>
      </c>
      <c r="U641" s="30">
        <v>2.1436519E7</v>
      </c>
    </row>
    <row r="642">
      <c r="A642" s="30">
        <v>51.539413</v>
      </c>
      <c r="B642" s="30">
        <v>25.222713</v>
      </c>
      <c r="C642" s="30" t="str">
        <f t="shared" si="1"/>
        <v>51.539413 25.222713</v>
      </c>
      <c r="D642" s="34">
        <v>46.0</v>
      </c>
      <c r="E642" s="53" t="s">
        <v>1961</v>
      </c>
      <c r="F642" s="54" t="s">
        <v>1962</v>
      </c>
      <c r="G642" s="34" t="s">
        <v>190</v>
      </c>
      <c r="H642" s="55">
        <v>46091.0</v>
      </c>
      <c r="I642" s="34">
        <v>1370470.0</v>
      </c>
      <c r="J642" s="30" t="s">
        <v>201</v>
      </c>
      <c r="K642" s="43" t="s">
        <v>202</v>
      </c>
      <c r="L642" s="34" t="s">
        <v>195</v>
      </c>
      <c r="M642" s="34">
        <v>2.0</v>
      </c>
      <c r="N642" s="30" t="s">
        <v>356</v>
      </c>
      <c r="O642" s="30" t="s">
        <v>194</v>
      </c>
      <c r="P642" s="30">
        <v>160.0</v>
      </c>
      <c r="Q642" s="30" t="s">
        <v>221</v>
      </c>
      <c r="R642" s="30" t="s">
        <v>222</v>
      </c>
      <c r="S642" s="30" t="s">
        <v>197</v>
      </c>
      <c r="T642" s="30" t="s">
        <v>1963</v>
      </c>
      <c r="U642" s="30">
        <v>2.143652E7</v>
      </c>
    </row>
    <row r="643">
      <c r="A643" s="71">
        <v>51.520898</v>
      </c>
      <c r="B643" s="71">
        <v>25.238078</v>
      </c>
      <c r="C643" s="30" t="str">
        <f t="shared" si="1"/>
        <v>51.520898 25.238078</v>
      </c>
      <c r="D643" s="71">
        <v>43.0</v>
      </c>
      <c r="E643" s="72" t="s">
        <v>1964</v>
      </c>
      <c r="F643" s="71" t="s">
        <v>1965</v>
      </c>
      <c r="G643" s="30" t="s">
        <v>190</v>
      </c>
      <c r="H643" s="74">
        <v>46104.0</v>
      </c>
      <c r="I643" s="71" t="s">
        <v>201</v>
      </c>
      <c r="J643" s="30" t="s">
        <v>201</v>
      </c>
      <c r="K643" s="43" t="s">
        <v>202</v>
      </c>
      <c r="L643" s="35"/>
      <c r="M643" s="30">
        <v>3.0</v>
      </c>
      <c r="N643" s="71" t="s">
        <v>304</v>
      </c>
      <c r="O643" s="71" t="s">
        <v>1966</v>
      </c>
      <c r="P643" s="71">
        <v>160.0</v>
      </c>
      <c r="Q643" s="71" t="s">
        <v>221</v>
      </c>
      <c r="R643" s="71" t="s">
        <v>222</v>
      </c>
      <c r="S643" s="71" t="s">
        <v>197</v>
      </c>
      <c r="T643" s="71" t="s">
        <v>1967</v>
      </c>
      <c r="U643" s="71">
        <v>2.1436521E7</v>
      </c>
    </row>
    <row r="644">
      <c r="A644" s="71">
        <v>51.524301</v>
      </c>
      <c r="B644" s="71">
        <v>25.237424</v>
      </c>
      <c r="C644" s="30" t="str">
        <f t="shared" si="1"/>
        <v>51.524301 25.237424</v>
      </c>
      <c r="D644" s="71">
        <v>44.0</v>
      </c>
      <c r="E644" s="72" t="s">
        <v>1968</v>
      </c>
      <c r="F644" s="71" t="s">
        <v>1969</v>
      </c>
      <c r="G644" s="30" t="s">
        <v>190</v>
      </c>
      <c r="H644" s="74">
        <v>46104.0</v>
      </c>
      <c r="I644" s="71" t="s">
        <v>201</v>
      </c>
      <c r="J644" s="30" t="s">
        <v>201</v>
      </c>
      <c r="K644" s="43" t="s">
        <v>202</v>
      </c>
      <c r="L644" s="35"/>
      <c r="M644" s="30">
        <v>3.0</v>
      </c>
      <c r="N644" s="71" t="s">
        <v>304</v>
      </c>
      <c r="O644" s="71" t="s">
        <v>1966</v>
      </c>
      <c r="P644" s="71">
        <v>160.0</v>
      </c>
      <c r="Q644" s="71" t="s">
        <v>221</v>
      </c>
      <c r="R644" s="71" t="s">
        <v>222</v>
      </c>
      <c r="S644" s="71" t="s">
        <v>197</v>
      </c>
      <c r="T644" s="71" t="s">
        <v>1970</v>
      </c>
      <c r="U644" s="71">
        <v>2.1436522E7</v>
      </c>
    </row>
    <row r="645">
      <c r="A645" s="30">
        <v>51.520561</v>
      </c>
      <c r="B645" s="30">
        <v>25.236896</v>
      </c>
      <c r="C645" s="30" t="str">
        <f t="shared" si="1"/>
        <v>51.520561 25.236896</v>
      </c>
      <c r="D645" s="30">
        <v>56.0</v>
      </c>
      <c r="E645" s="36" t="s">
        <v>1971</v>
      </c>
      <c r="F645" s="32" t="s">
        <v>1972</v>
      </c>
      <c r="G645" s="30" t="s">
        <v>190</v>
      </c>
      <c r="H645" s="33">
        <v>46091.0</v>
      </c>
      <c r="I645" s="30" t="s">
        <v>201</v>
      </c>
      <c r="J645" s="30" t="s">
        <v>201</v>
      </c>
      <c r="K645" s="34" t="s">
        <v>1293</v>
      </c>
      <c r="L645" s="35"/>
      <c r="M645" s="30">
        <v>3.0</v>
      </c>
      <c r="N645" s="30" t="s">
        <v>216</v>
      </c>
      <c r="O645" s="30" t="s">
        <v>194</v>
      </c>
      <c r="P645" s="30">
        <v>160.0</v>
      </c>
      <c r="Q645" s="30" t="s">
        <v>195</v>
      </c>
      <c r="R645" s="30" t="s">
        <v>196</v>
      </c>
      <c r="S645" s="30" t="s">
        <v>197</v>
      </c>
      <c r="T645" s="30" t="s">
        <v>1973</v>
      </c>
      <c r="U645" s="30">
        <v>2.1436523E7</v>
      </c>
    </row>
    <row r="646">
      <c r="A646" s="50">
        <v>51.525617</v>
      </c>
      <c r="B646" s="50">
        <v>25.236035</v>
      </c>
      <c r="C646" s="30" t="str">
        <f t="shared" si="1"/>
        <v>51.525617 25.236035</v>
      </c>
      <c r="D646" s="50">
        <v>46.0</v>
      </c>
      <c r="E646" s="50" t="s">
        <v>201</v>
      </c>
      <c r="F646" s="50" t="s">
        <v>201</v>
      </c>
      <c r="G646" s="50" t="s">
        <v>303</v>
      </c>
      <c r="H646" s="100">
        <v>46106.0</v>
      </c>
      <c r="I646" s="50" t="s">
        <v>201</v>
      </c>
      <c r="J646" s="34" t="s">
        <v>1974</v>
      </c>
      <c r="K646" s="34" t="s">
        <v>201</v>
      </c>
      <c r="L646" s="76"/>
      <c r="M646" s="50" t="s">
        <v>201</v>
      </c>
      <c r="N646" s="50" t="s">
        <v>220</v>
      </c>
      <c r="O646" s="45" t="s">
        <v>201</v>
      </c>
      <c r="P646" s="45" t="s">
        <v>201</v>
      </c>
      <c r="Q646" s="45" t="s">
        <v>201</v>
      </c>
      <c r="R646" s="45" t="s">
        <v>201</v>
      </c>
      <c r="S646" s="45" t="s">
        <v>201</v>
      </c>
      <c r="T646" s="50" t="s">
        <v>1975</v>
      </c>
      <c r="U646" s="50">
        <v>2.1436524E7</v>
      </c>
    </row>
    <row r="647">
      <c r="A647" s="30">
        <v>51.52383</v>
      </c>
      <c r="B647" s="30">
        <v>25.236147</v>
      </c>
      <c r="C647" s="30" t="str">
        <f t="shared" si="1"/>
        <v>51.52383 25.236147</v>
      </c>
      <c r="D647" s="30">
        <v>56.0</v>
      </c>
      <c r="E647" s="36" t="s">
        <v>1976</v>
      </c>
      <c r="F647" s="32" t="s">
        <v>1977</v>
      </c>
      <c r="G647" s="30" t="s">
        <v>190</v>
      </c>
      <c r="H647" s="33">
        <v>46092.0</v>
      </c>
      <c r="I647" s="32" t="s">
        <v>201</v>
      </c>
      <c r="J647" s="30" t="s">
        <v>1978</v>
      </c>
      <c r="K647" s="34" t="s">
        <v>645</v>
      </c>
      <c r="L647" s="30" t="s">
        <v>195</v>
      </c>
      <c r="M647" s="30">
        <v>3.0</v>
      </c>
      <c r="N647" s="30" t="s">
        <v>465</v>
      </c>
      <c r="O647" s="30" t="s">
        <v>194</v>
      </c>
      <c r="P647" s="30">
        <v>160.0</v>
      </c>
      <c r="Q647" s="30" t="s">
        <v>195</v>
      </c>
      <c r="R647" s="30" t="s">
        <v>196</v>
      </c>
      <c r="S647" s="30" t="s">
        <v>197</v>
      </c>
      <c r="T647" s="30" t="s">
        <v>1979</v>
      </c>
      <c r="U647" s="30">
        <v>2.1436525E7</v>
      </c>
    </row>
    <row r="648">
      <c r="A648" s="30">
        <v>51.52606</v>
      </c>
      <c r="B648" s="30">
        <v>25.234445</v>
      </c>
      <c r="C648" s="30" t="str">
        <f t="shared" si="1"/>
        <v>51.52606 25.234445</v>
      </c>
      <c r="D648" s="30">
        <v>56.0</v>
      </c>
      <c r="E648" s="36" t="s">
        <v>440</v>
      </c>
      <c r="F648" s="32" t="s">
        <v>1980</v>
      </c>
      <c r="G648" s="30" t="s">
        <v>190</v>
      </c>
      <c r="H648" s="33">
        <v>46091.0</v>
      </c>
      <c r="I648" s="30" t="s">
        <v>201</v>
      </c>
      <c r="J648" s="30" t="s">
        <v>201</v>
      </c>
      <c r="K648" s="34" t="s">
        <v>202</v>
      </c>
      <c r="L648" s="35"/>
      <c r="M648" s="30">
        <v>3.0</v>
      </c>
      <c r="N648" s="30" t="s">
        <v>216</v>
      </c>
      <c r="O648" s="30" t="s">
        <v>194</v>
      </c>
      <c r="P648" s="30">
        <v>160.0</v>
      </c>
      <c r="Q648" s="30" t="s">
        <v>221</v>
      </c>
      <c r="R648" s="30" t="s">
        <v>222</v>
      </c>
      <c r="S648" s="30" t="s">
        <v>197</v>
      </c>
      <c r="T648" s="30" t="s">
        <v>1981</v>
      </c>
      <c r="U648" s="30">
        <v>2.1436526E7</v>
      </c>
    </row>
    <row r="649">
      <c r="A649" s="30">
        <v>51.519971</v>
      </c>
      <c r="B649" s="30">
        <v>25.237695</v>
      </c>
      <c r="C649" s="30" t="str">
        <f t="shared" si="1"/>
        <v>51.519971 25.237695</v>
      </c>
      <c r="D649" s="30">
        <v>56.0</v>
      </c>
      <c r="E649" s="36" t="s">
        <v>1928</v>
      </c>
      <c r="F649" s="32" t="s">
        <v>1982</v>
      </c>
      <c r="G649" s="30" t="s">
        <v>190</v>
      </c>
      <c r="H649" s="33">
        <v>46091.0</v>
      </c>
      <c r="I649" s="30" t="s">
        <v>201</v>
      </c>
      <c r="J649" s="30" t="s">
        <v>201</v>
      </c>
      <c r="K649" s="34" t="s">
        <v>202</v>
      </c>
      <c r="L649" s="35"/>
      <c r="M649" s="30">
        <v>3.0</v>
      </c>
      <c r="N649" s="30" t="s">
        <v>216</v>
      </c>
      <c r="O649" s="30" t="s">
        <v>194</v>
      </c>
      <c r="P649" s="30">
        <v>160.0</v>
      </c>
      <c r="Q649" s="30" t="s">
        <v>195</v>
      </c>
      <c r="R649" s="30" t="s">
        <v>196</v>
      </c>
      <c r="S649" s="30" t="s">
        <v>197</v>
      </c>
      <c r="T649" s="30" t="s">
        <v>1983</v>
      </c>
      <c r="U649" s="30">
        <v>2.1436527E7</v>
      </c>
    </row>
    <row r="650">
      <c r="A650" s="71">
        <v>51.523866</v>
      </c>
      <c r="B650" s="71">
        <v>25.238961</v>
      </c>
      <c r="C650" s="30" t="str">
        <f t="shared" si="1"/>
        <v>51.523866 25.238961</v>
      </c>
      <c r="D650" s="71">
        <v>44.0</v>
      </c>
      <c r="E650" s="72" t="s">
        <v>1984</v>
      </c>
      <c r="F650" s="73" t="s">
        <v>1985</v>
      </c>
      <c r="G650" s="30" t="s">
        <v>190</v>
      </c>
      <c r="H650" s="74">
        <v>46104.0</v>
      </c>
      <c r="I650" s="71" t="s">
        <v>201</v>
      </c>
      <c r="J650" s="30" t="s">
        <v>303</v>
      </c>
      <c r="K650" s="34" t="s">
        <v>202</v>
      </c>
      <c r="L650" s="35"/>
      <c r="M650" s="30">
        <v>3.0</v>
      </c>
      <c r="N650" s="71" t="s">
        <v>304</v>
      </c>
      <c r="O650" s="71" t="s">
        <v>1966</v>
      </c>
      <c r="P650" s="71">
        <v>160.0</v>
      </c>
      <c r="Q650" s="71" t="s">
        <v>221</v>
      </c>
      <c r="R650" s="71" t="s">
        <v>222</v>
      </c>
      <c r="S650" s="71" t="s">
        <v>197</v>
      </c>
      <c r="T650" s="71" t="s">
        <v>1986</v>
      </c>
      <c r="U650" s="71">
        <v>2.1436528E7</v>
      </c>
    </row>
    <row r="651">
      <c r="A651" s="30">
        <v>51.529995</v>
      </c>
      <c r="B651" s="30">
        <v>25.230442</v>
      </c>
      <c r="C651" s="30" t="str">
        <f t="shared" si="1"/>
        <v>51.529995 25.230442</v>
      </c>
      <c r="D651" s="30">
        <v>56.0</v>
      </c>
      <c r="E651" s="36" t="s">
        <v>482</v>
      </c>
      <c r="F651" s="32" t="s">
        <v>1987</v>
      </c>
      <c r="G651" s="30" t="s">
        <v>190</v>
      </c>
      <c r="H651" s="33">
        <v>46080.0</v>
      </c>
      <c r="I651" s="30" t="s">
        <v>201</v>
      </c>
      <c r="J651" s="30" t="s">
        <v>201</v>
      </c>
      <c r="K651" s="34" t="s">
        <v>202</v>
      </c>
      <c r="L651" s="35"/>
      <c r="M651" s="30">
        <v>3.0</v>
      </c>
      <c r="N651" s="30" t="s">
        <v>193</v>
      </c>
      <c r="O651" s="30" t="s">
        <v>194</v>
      </c>
      <c r="P651" s="30">
        <v>160.0</v>
      </c>
      <c r="Q651" s="30" t="s">
        <v>195</v>
      </c>
      <c r="R651" s="30" t="s">
        <v>196</v>
      </c>
      <c r="S651" s="30" t="s">
        <v>197</v>
      </c>
      <c r="T651" s="30" t="s">
        <v>1988</v>
      </c>
      <c r="U651" s="30">
        <v>2.1436529E7</v>
      </c>
    </row>
    <row r="652">
      <c r="A652" s="30">
        <v>51.479462</v>
      </c>
      <c r="B652" s="30">
        <v>25.262361</v>
      </c>
      <c r="C652" s="30" t="str">
        <f t="shared" si="1"/>
        <v>51.479462 25.262361</v>
      </c>
      <c r="D652" s="30">
        <v>55.0</v>
      </c>
      <c r="E652" s="36" t="s">
        <v>1989</v>
      </c>
      <c r="F652" s="32" t="s">
        <v>1990</v>
      </c>
      <c r="G652" s="30" t="s">
        <v>190</v>
      </c>
      <c r="H652" s="33">
        <v>46097.0</v>
      </c>
      <c r="I652" s="30">
        <v>1363629.0</v>
      </c>
      <c r="J652" s="30" t="s">
        <v>1991</v>
      </c>
      <c r="K652" s="34" t="s">
        <v>202</v>
      </c>
      <c r="L652" s="35"/>
      <c r="M652" s="30">
        <v>3.0</v>
      </c>
      <c r="N652" s="30" t="s">
        <v>304</v>
      </c>
      <c r="O652" s="30" t="s">
        <v>194</v>
      </c>
      <c r="P652" s="30">
        <v>160.0</v>
      </c>
      <c r="Q652" s="30" t="s">
        <v>195</v>
      </c>
      <c r="R652" s="30" t="s">
        <v>196</v>
      </c>
      <c r="S652" s="30" t="s">
        <v>197</v>
      </c>
      <c r="T652" s="30" t="s">
        <v>1992</v>
      </c>
      <c r="U652" s="30">
        <v>2.1556572E7</v>
      </c>
    </row>
    <row r="653">
      <c r="A653" s="30">
        <v>51.479449</v>
      </c>
      <c r="B653" s="30">
        <v>25.262377</v>
      </c>
      <c r="C653" s="30" t="str">
        <f t="shared" si="1"/>
        <v>51.479449 25.262377</v>
      </c>
      <c r="D653" s="30">
        <v>55.0</v>
      </c>
      <c r="E653" s="36" t="s">
        <v>1993</v>
      </c>
      <c r="F653" s="32" t="s">
        <v>1994</v>
      </c>
      <c r="G653" s="30" t="s">
        <v>190</v>
      </c>
      <c r="H653" s="33">
        <v>46097.0</v>
      </c>
      <c r="I653" s="30">
        <v>1363629.0</v>
      </c>
      <c r="J653" s="30" t="s">
        <v>201</v>
      </c>
      <c r="K653" s="34" t="s">
        <v>202</v>
      </c>
      <c r="L653" s="35"/>
      <c r="M653" s="30">
        <v>3.0</v>
      </c>
      <c r="N653" s="30" t="s">
        <v>304</v>
      </c>
      <c r="O653" s="30" t="s">
        <v>194</v>
      </c>
      <c r="P653" s="30">
        <v>160.0</v>
      </c>
      <c r="Q653" s="30" t="s">
        <v>195</v>
      </c>
      <c r="R653" s="30" t="s">
        <v>196</v>
      </c>
      <c r="S653" s="30" t="s">
        <v>197</v>
      </c>
      <c r="T653" s="30" t="s">
        <v>1995</v>
      </c>
      <c r="U653" s="30">
        <v>2.1556573E7</v>
      </c>
    </row>
    <row r="654">
      <c r="A654" s="30">
        <v>51.478373</v>
      </c>
      <c r="B654" s="30">
        <v>25.265304</v>
      </c>
      <c r="C654" s="30" t="str">
        <f t="shared" si="1"/>
        <v>51.478373 25.265304</v>
      </c>
      <c r="D654" s="30">
        <v>55.0</v>
      </c>
      <c r="E654" s="36" t="s">
        <v>1996</v>
      </c>
      <c r="F654" s="32" t="s">
        <v>1997</v>
      </c>
      <c r="G654" s="30" t="s">
        <v>190</v>
      </c>
      <c r="H654" s="33">
        <v>46096.0</v>
      </c>
      <c r="I654" s="30">
        <v>1363630.0</v>
      </c>
      <c r="J654" s="30" t="s">
        <v>201</v>
      </c>
      <c r="K654" s="43" t="s">
        <v>202</v>
      </c>
      <c r="L654" s="35"/>
      <c r="M654" s="30">
        <v>3.0</v>
      </c>
      <c r="N654" s="30" t="s">
        <v>304</v>
      </c>
      <c r="O654" s="30" t="s">
        <v>194</v>
      </c>
      <c r="P654" s="30">
        <v>160.0</v>
      </c>
      <c r="Q654" s="30" t="s">
        <v>195</v>
      </c>
      <c r="R654" s="30" t="s">
        <v>196</v>
      </c>
      <c r="S654" s="30" t="s">
        <v>197</v>
      </c>
      <c r="T654" s="30" t="s">
        <v>1998</v>
      </c>
      <c r="U654" s="30">
        <v>2.1556574E7</v>
      </c>
    </row>
    <row r="655">
      <c r="A655" s="30">
        <v>51.476516</v>
      </c>
      <c r="B655" s="30">
        <v>25.269343</v>
      </c>
      <c r="C655" s="30" t="str">
        <f t="shared" si="1"/>
        <v>51.476516 25.269343</v>
      </c>
      <c r="D655" s="30">
        <v>55.0</v>
      </c>
      <c r="E655" s="36" t="s">
        <v>1999</v>
      </c>
      <c r="F655" s="32" t="s">
        <v>1134</v>
      </c>
      <c r="G655" s="30" t="s">
        <v>190</v>
      </c>
      <c r="H655" s="33">
        <v>46096.0</v>
      </c>
      <c r="I655" s="30">
        <v>1363631.0</v>
      </c>
      <c r="J655" s="30" t="s">
        <v>201</v>
      </c>
      <c r="K655" s="43" t="s">
        <v>202</v>
      </c>
      <c r="L655" s="35"/>
      <c r="M655" s="30">
        <v>3.0</v>
      </c>
      <c r="N655" s="30" t="s">
        <v>304</v>
      </c>
      <c r="O655" s="30" t="s">
        <v>194</v>
      </c>
      <c r="P655" s="30">
        <v>160.0</v>
      </c>
      <c r="Q655" s="30" t="s">
        <v>195</v>
      </c>
      <c r="R655" s="30" t="s">
        <v>196</v>
      </c>
      <c r="S655" s="30" t="s">
        <v>197</v>
      </c>
      <c r="T655" s="30" t="s">
        <v>2000</v>
      </c>
      <c r="U655" s="30">
        <v>2.1556575E7</v>
      </c>
    </row>
    <row r="656">
      <c r="A656" s="30">
        <v>51.474787</v>
      </c>
      <c r="B656" s="30">
        <v>25.269674</v>
      </c>
      <c r="C656" s="30" t="str">
        <f t="shared" si="1"/>
        <v>51.474787 25.269674</v>
      </c>
      <c r="D656" s="30">
        <v>54.0</v>
      </c>
      <c r="E656" s="36" t="s">
        <v>2001</v>
      </c>
      <c r="F656" s="32" t="s">
        <v>2002</v>
      </c>
      <c r="G656" s="30" t="s">
        <v>190</v>
      </c>
      <c r="H656" s="33">
        <v>46100.0</v>
      </c>
      <c r="I656" s="30">
        <v>1363632.0</v>
      </c>
      <c r="J656" s="30" t="s">
        <v>2003</v>
      </c>
      <c r="K656" s="43" t="s">
        <v>202</v>
      </c>
      <c r="L656" s="35"/>
      <c r="M656" s="30">
        <v>3.0</v>
      </c>
      <c r="N656" s="30" t="s">
        <v>216</v>
      </c>
      <c r="O656" s="30" t="s">
        <v>194</v>
      </c>
      <c r="P656" s="30">
        <v>160.0</v>
      </c>
      <c r="Q656" s="30" t="s">
        <v>195</v>
      </c>
      <c r="R656" s="30" t="s">
        <v>196</v>
      </c>
      <c r="S656" s="30" t="s">
        <v>197</v>
      </c>
      <c r="T656" s="30" t="s">
        <v>2004</v>
      </c>
      <c r="U656" s="30">
        <v>2.1556576E7</v>
      </c>
    </row>
    <row r="657">
      <c r="A657" s="30">
        <v>51.472429</v>
      </c>
      <c r="B657" s="30">
        <v>25.277424</v>
      </c>
      <c r="C657" s="30" t="str">
        <f t="shared" si="1"/>
        <v>51.472429 25.277424</v>
      </c>
      <c r="D657" s="30">
        <v>54.0</v>
      </c>
      <c r="E657" s="36" t="s">
        <v>2005</v>
      </c>
      <c r="F657" s="32">
        <v>12.0</v>
      </c>
      <c r="G657" s="30" t="s">
        <v>190</v>
      </c>
      <c r="H657" s="33">
        <v>46100.0</v>
      </c>
      <c r="I657" s="30">
        <v>1363633.0</v>
      </c>
      <c r="J657" s="30" t="s">
        <v>2006</v>
      </c>
      <c r="K657" s="43" t="s">
        <v>202</v>
      </c>
      <c r="L657" s="35"/>
      <c r="M657" s="30">
        <v>3.0</v>
      </c>
      <c r="N657" s="30" t="s">
        <v>216</v>
      </c>
      <c r="O657" s="30" t="s">
        <v>194</v>
      </c>
      <c r="P657" s="30">
        <v>160.0</v>
      </c>
      <c r="Q657" s="30" t="s">
        <v>195</v>
      </c>
      <c r="R657" s="30" t="s">
        <v>196</v>
      </c>
      <c r="S657" s="30" t="s">
        <v>197</v>
      </c>
      <c r="T657" s="30" t="s">
        <v>2007</v>
      </c>
      <c r="U657" s="30">
        <v>2.1556577E7</v>
      </c>
    </row>
    <row r="658">
      <c r="A658" s="30">
        <v>51.473207</v>
      </c>
      <c r="B658" s="30">
        <v>25.278331</v>
      </c>
      <c r="C658" s="30" t="str">
        <f t="shared" si="1"/>
        <v>51.473207 25.278331</v>
      </c>
      <c r="D658" s="30">
        <v>54.0</v>
      </c>
      <c r="E658" s="36" t="s">
        <v>2008</v>
      </c>
      <c r="F658" s="32" t="s">
        <v>2009</v>
      </c>
      <c r="G658" s="30" t="s">
        <v>190</v>
      </c>
      <c r="H658" s="33">
        <v>46096.0</v>
      </c>
      <c r="I658" s="30">
        <v>1363579.0</v>
      </c>
      <c r="J658" s="30" t="s">
        <v>201</v>
      </c>
      <c r="K658" s="43" t="s">
        <v>202</v>
      </c>
      <c r="L658" s="35"/>
      <c r="M658" s="30">
        <v>3.0</v>
      </c>
      <c r="N658" s="30" t="s">
        <v>304</v>
      </c>
      <c r="O658" s="30" t="s">
        <v>194</v>
      </c>
      <c r="P658" s="30">
        <v>160.0</v>
      </c>
      <c r="Q658" s="30" t="s">
        <v>195</v>
      </c>
      <c r="R658" s="30" t="s">
        <v>196</v>
      </c>
      <c r="S658" s="30" t="s">
        <v>197</v>
      </c>
      <c r="T658" s="30" t="s">
        <v>2010</v>
      </c>
      <c r="U658" s="30">
        <v>2.1556578E7</v>
      </c>
    </row>
    <row r="659">
      <c r="A659" s="30">
        <v>51.471604</v>
      </c>
      <c r="B659" s="30">
        <v>25.279036</v>
      </c>
      <c r="C659" s="30" t="str">
        <f t="shared" si="1"/>
        <v>51.471604 25.279036</v>
      </c>
      <c r="D659" s="30">
        <v>54.0</v>
      </c>
      <c r="E659" s="36" t="s">
        <v>471</v>
      </c>
      <c r="F659" s="32" t="s">
        <v>2011</v>
      </c>
      <c r="G659" s="30" t="s">
        <v>190</v>
      </c>
      <c r="H659" s="33">
        <v>46097.0</v>
      </c>
      <c r="I659" s="30">
        <v>1363578.0</v>
      </c>
      <c r="J659" s="30" t="s">
        <v>2012</v>
      </c>
      <c r="K659" s="43" t="s">
        <v>202</v>
      </c>
      <c r="L659" s="35"/>
      <c r="M659" s="30">
        <v>3.0</v>
      </c>
      <c r="N659" s="30" t="s">
        <v>216</v>
      </c>
      <c r="O659" s="30" t="s">
        <v>194</v>
      </c>
      <c r="P659" s="30">
        <v>160.0</v>
      </c>
      <c r="Q659" s="30" t="s">
        <v>221</v>
      </c>
      <c r="R659" s="30" t="s">
        <v>222</v>
      </c>
      <c r="S659" s="30" t="s">
        <v>197</v>
      </c>
      <c r="T659" s="30" t="s">
        <v>2013</v>
      </c>
      <c r="U659" s="30">
        <v>2.1556579E7</v>
      </c>
    </row>
    <row r="660">
      <c r="A660" s="30">
        <v>51.470305</v>
      </c>
      <c r="B660" s="30">
        <v>25.282202</v>
      </c>
      <c r="C660" s="30" t="str">
        <f t="shared" si="1"/>
        <v>51.470305 25.282202</v>
      </c>
      <c r="D660" s="30">
        <v>54.0</v>
      </c>
      <c r="E660" s="36" t="s">
        <v>2014</v>
      </c>
      <c r="F660" s="32" t="s">
        <v>2015</v>
      </c>
      <c r="G660" s="30" t="s">
        <v>190</v>
      </c>
      <c r="H660" s="33">
        <v>46096.0</v>
      </c>
      <c r="I660" s="30">
        <v>1363577.0</v>
      </c>
      <c r="J660" s="30" t="s">
        <v>201</v>
      </c>
      <c r="K660" s="43" t="s">
        <v>202</v>
      </c>
      <c r="L660" s="35"/>
      <c r="M660" s="30">
        <v>3.0</v>
      </c>
      <c r="N660" s="30" t="s">
        <v>304</v>
      </c>
      <c r="O660" s="30" t="s">
        <v>194</v>
      </c>
      <c r="P660" s="30">
        <v>160.0</v>
      </c>
      <c r="Q660" s="30" t="s">
        <v>221</v>
      </c>
      <c r="R660" s="30" t="s">
        <v>222</v>
      </c>
      <c r="S660" s="30" t="s">
        <v>197</v>
      </c>
      <c r="T660" s="30" t="s">
        <v>2016</v>
      </c>
      <c r="U660" s="30">
        <v>2.155658E7</v>
      </c>
    </row>
    <row r="661">
      <c r="A661" s="30">
        <v>51.468401</v>
      </c>
      <c r="B661" s="30">
        <v>25.283886</v>
      </c>
      <c r="C661" s="30" t="str">
        <f t="shared" si="1"/>
        <v>51.468401 25.283886</v>
      </c>
      <c r="D661" s="30">
        <v>54.0</v>
      </c>
      <c r="E661" s="36" t="s">
        <v>2017</v>
      </c>
      <c r="F661" s="32" t="s">
        <v>2018</v>
      </c>
      <c r="G661" s="30" t="s">
        <v>190</v>
      </c>
      <c r="H661" s="33">
        <v>46096.0</v>
      </c>
      <c r="I661" s="30">
        <v>1363575.0</v>
      </c>
      <c r="J661" s="30" t="s">
        <v>201</v>
      </c>
      <c r="K661" s="43" t="s">
        <v>202</v>
      </c>
      <c r="L661" s="35"/>
      <c r="M661" s="30">
        <v>3.0</v>
      </c>
      <c r="N661" s="30" t="s">
        <v>304</v>
      </c>
      <c r="O661" s="30" t="s">
        <v>194</v>
      </c>
      <c r="P661" s="30">
        <v>160.0</v>
      </c>
      <c r="Q661" s="30" t="s">
        <v>195</v>
      </c>
      <c r="R661" s="30" t="s">
        <v>196</v>
      </c>
      <c r="S661" s="30" t="s">
        <v>197</v>
      </c>
      <c r="T661" s="30" t="s">
        <v>2019</v>
      </c>
      <c r="U661" s="30">
        <v>2.1556581E7</v>
      </c>
    </row>
    <row r="662">
      <c r="A662" s="30">
        <v>51.466064</v>
      </c>
      <c r="B662" s="30">
        <v>25.28678</v>
      </c>
      <c r="C662" s="30" t="str">
        <f t="shared" si="1"/>
        <v>51.466064 25.28678</v>
      </c>
      <c r="D662" s="30">
        <v>54.0</v>
      </c>
      <c r="E662" s="36" t="s">
        <v>2020</v>
      </c>
      <c r="F662" s="32" t="s">
        <v>1279</v>
      </c>
      <c r="G662" s="30" t="s">
        <v>190</v>
      </c>
      <c r="H662" s="33">
        <v>46096.0</v>
      </c>
      <c r="I662" s="30">
        <v>1363573.0</v>
      </c>
      <c r="J662" s="30" t="s">
        <v>201</v>
      </c>
      <c r="K662" s="43" t="s">
        <v>202</v>
      </c>
      <c r="L662" s="35"/>
      <c r="M662" s="30">
        <v>3.0</v>
      </c>
      <c r="N662" s="30" t="s">
        <v>304</v>
      </c>
      <c r="O662" s="30" t="s">
        <v>194</v>
      </c>
      <c r="P662" s="30">
        <v>160.0</v>
      </c>
      <c r="Q662" s="30" t="s">
        <v>195</v>
      </c>
      <c r="R662" s="30" t="s">
        <v>196</v>
      </c>
      <c r="S662" s="30" t="s">
        <v>197</v>
      </c>
      <c r="T662" s="30" t="s">
        <v>2021</v>
      </c>
      <c r="U662" s="30">
        <v>2.1556582E7</v>
      </c>
    </row>
    <row r="663">
      <c r="A663" s="30">
        <v>51.466056</v>
      </c>
      <c r="B663" s="30">
        <v>25.286803</v>
      </c>
      <c r="C663" s="30" t="str">
        <f t="shared" si="1"/>
        <v>51.466056 25.286803</v>
      </c>
      <c r="D663" s="30">
        <v>54.0</v>
      </c>
      <c r="E663" s="36" t="s">
        <v>2022</v>
      </c>
      <c r="F663" s="32" t="s">
        <v>2023</v>
      </c>
      <c r="G663" s="30" t="s">
        <v>190</v>
      </c>
      <c r="H663" s="33">
        <v>46096.0</v>
      </c>
      <c r="I663" s="30">
        <v>1363574.0</v>
      </c>
      <c r="J663" s="30" t="s">
        <v>201</v>
      </c>
      <c r="K663" s="43" t="s">
        <v>202</v>
      </c>
      <c r="L663" s="35"/>
      <c r="M663" s="30">
        <v>3.0</v>
      </c>
      <c r="N663" s="30" t="s">
        <v>304</v>
      </c>
      <c r="O663" s="30" t="s">
        <v>194</v>
      </c>
      <c r="P663" s="30">
        <v>160.0</v>
      </c>
      <c r="Q663" s="30" t="s">
        <v>221</v>
      </c>
      <c r="R663" s="30" t="s">
        <v>222</v>
      </c>
      <c r="S663" s="30" t="s">
        <v>197</v>
      </c>
      <c r="T663" s="30" t="s">
        <v>2024</v>
      </c>
      <c r="U663" s="30">
        <v>2.1556583E7</v>
      </c>
    </row>
    <row r="664">
      <c r="A664" s="30">
        <v>51.46814</v>
      </c>
      <c r="B664" s="30">
        <v>25.266801</v>
      </c>
      <c r="C664" s="30" t="str">
        <f t="shared" si="1"/>
        <v>51.46814 25.266801</v>
      </c>
      <c r="D664" s="30">
        <v>54.0</v>
      </c>
      <c r="E664" s="36" t="s">
        <v>482</v>
      </c>
      <c r="F664" s="40" t="s">
        <v>1531</v>
      </c>
      <c r="G664" s="30" t="s">
        <v>190</v>
      </c>
      <c r="H664" s="55">
        <v>46073.0</v>
      </c>
      <c r="I664" s="41">
        <v>1363572.0</v>
      </c>
      <c r="J664" s="30" t="s">
        <v>201</v>
      </c>
      <c r="K664" s="43" t="s">
        <v>202</v>
      </c>
      <c r="L664" s="34" t="s">
        <v>195</v>
      </c>
      <c r="M664" s="30">
        <v>3.0</v>
      </c>
      <c r="N664" s="30" t="s">
        <v>356</v>
      </c>
      <c r="O664" s="30" t="s">
        <v>194</v>
      </c>
      <c r="P664" s="30">
        <v>160.0</v>
      </c>
      <c r="Q664" s="30" t="s">
        <v>195</v>
      </c>
      <c r="R664" s="30" t="s">
        <v>196</v>
      </c>
      <c r="S664" s="30" t="s">
        <v>197</v>
      </c>
      <c r="T664" s="30" t="s">
        <v>2025</v>
      </c>
      <c r="U664" s="30">
        <v>2.1556584E7</v>
      </c>
    </row>
    <row r="665">
      <c r="A665" s="30">
        <v>51.482126</v>
      </c>
      <c r="B665" s="30">
        <v>25.272307</v>
      </c>
      <c r="C665" s="30" t="str">
        <f t="shared" si="1"/>
        <v>51.482126 25.272307</v>
      </c>
      <c r="D665" s="30">
        <v>54.0</v>
      </c>
      <c r="E665" s="36" t="s">
        <v>2026</v>
      </c>
      <c r="F665" s="32" t="s">
        <v>2027</v>
      </c>
      <c r="G665" s="30" t="s">
        <v>190</v>
      </c>
      <c r="H665" s="33">
        <v>46096.0</v>
      </c>
      <c r="I665" s="30">
        <v>1363570.0</v>
      </c>
      <c r="J665" s="30" t="s">
        <v>201</v>
      </c>
      <c r="K665" s="43" t="s">
        <v>202</v>
      </c>
      <c r="L665" s="35"/>
      <c r="M665" s="30">
        <v>3.0</v>
      </c>
      <c r="N665" s="30" t="s">
        <v>304</v>
      </c>
      <c r="O665" s="30" t="s">
        <v>194</v>
      </c>
      <c r="P665" s="30">
        <v>160.0</v>
      </c>
      <c r="Q665" s="30" t="s">
        <v>195</v>
      </c>
      <c r="R665" s="30" t="s">
        <v>196</v>
      </c>
      <c r="S665" s="30" t="s">
        <v>197</v>
      </c>
      <c r="T665" s="30" t="s">
        <v>2028</v>
      </c>
      <c r="U665" s="30">
        <v>2.1556585E7</v>
      </c>
    </row>
    <row r="666">
      <c r="A666" s="30">
        <v>51.482829</v>
      </c>
      <c r="B666" s="30">
        <v>25.272606</v>
      </c>
      <c r="C666" s="30" t="str">
        <f t="shared" si="1"/>
        <v>51.482829 25.272606</v>
      </c>
      <c r="D666" s="30">
        <v>54.0</v>
      </c>
      <c r="E666" s="36" t="s">
        <v>2029</v>
      </c>
      <c r="F666" s="32" t="s">
        <v>2030</v>
      </c>
      <c r="G666" s="30" t="s">
        <v>190</v>
      </c>
      <c r="H666" s="33">
        <v>46096.0</v>
      </c>
      <c r="I666" s="30">
        <v>1363568.0</v>
      </c>
      <c r="J666" s="30" t="s">
        <v>201</v>
      </c>
      <c r="K666" s="43" t="s">
        <v>202</v>
      </c>
      <c r="L666" s="35"/>
      <c r="M666" s="30">
        <v>3.0</v>
      </c>
      <c r="N666" s="30" t="s">
        <v>304</v>
      </c>
      <c r="O666" s="30" t="s">
        <v>194</v>
      </c>
      <c r="P666" s="30">
        <v>160.0</v>
      </c>
      <c r="Q666" s="30" t="s">
        <v>221</v>
      </c>
      <c r="R666" s="30" t="s">
        <v>222</v>
      </c>
      <c r="S666" s="30" t="s">
        <v>197</v>
      </c>
      <c r="T666" s="30" t="s">
        <v>2031</v>
      </c>
      <c r="U666" s="30">
        <v>2.1556586E7</v>
      </c>
    </row>
    <row r="667">
      <c r="A667" s="30">
        <v>51.478443</v>
      </c>
      <c r="B667" s="30">
        <v>25.279127</v>
      </c>
      <c r="C667" s="30" t="str">
        <f t="shared" si="1"/>
        <v>51.478443 25.279127</v>
      </c>
      <c r="D667" s="30">
        <v>54.0</v>
      </c>
      <c r="E667" s="36" t="s">
        <v>2032</v>
      </c>
      <c r="F667" s="32" t="s">
        <v>1557</v>
      </c>
      <c r="G667" s="30" t="s">
        <v>190</v>
      </c>
      <c r="H667" s="33">
        <v>46096.0</v>
      </c>
      <c r="I667" s="30">
        <v>1363567.0</v>
      </c>
      <c r="J667" s="30" t="s">
        <v>201</v>
      </c>
      <c r="K667" s="43" t="s">
        <v>202</v>
      </c>
      <c r="L667" s="35"/>
      <c r="M667" s="30">
        <v>3.0</v>
      </c>
      <c r="N667" s="30" t="s">
        <v>304</v>
      </c>
      <c r="O667" s="30" t="s">
        <v>194</v>
      </c>
      <c r="P667" s="30">
        <v>160.0</v>
      </c>
      <c r="Q667" s="30" t="s">
        <v>195</v>
      </c>
      <c r="R667" s="30" t="s">
        <v>196</v>
      </c>
      <c r="S667" s="30" t="s">
        <v>197</v>
      </c>
      <c r="T667" s="30" t="s">
        <v>2033</v>
      </c>
      <c r="U667" s="30">
        <v>2.1556587E7</v>
      </c>
    </row>
    <row r="668">
      <c r="A668" s="30">
        <v>51.478464</v>
      </c>
      <c r="B668" s="30">
        <v>25.279129</v>
      </c>
      <c r="C668" s="30" t="str">
        <f t="shared" si="1"/>
        <v>51.478464 25.279129</v>
      </c>
      <c r="D668" s="30">
        <v>54.0</v>
      </c>
      <c r="E668" s="36" t="s">
        <v>2034</v>
      </c>
      <c r="F668" s="32" t="s">
        <v>2035</v>
      </c>
      <c r="G668" s="30" t="s">
        <v>190</v>
      </c>
      <c r="H668" s="33">
        <v>46096.0</v>
      </c>
      <c r="I668" s="30">
        <v>1363478.0</v>
      </c>
      <c r="J668" s="30" t="s">
        <v>201</v>
      </c>
      <c r="K668" s="43" t="s">
        <v>202</v>
      </c>
      <c r="L668" s="35"/>
      <c r="M668" s="30">
        <v>3.0</v>
      </c>
      <c r="N668" s="30" t="s">
        <v>304</v>
      </c>
      <c r="O668" s="30" t="s">
        <v>194</v>
      </c>
      <c r="P668" s="30">
        <v>160.0</v>
      </c>
      <c r="Q668" s="30" t="s">
        <v>195</v>
      </c>
      <c r="R668" s="30" t="s">
        <v>196</v>
      </c>
      <c r="S668" s="30" t="s">
        <v>197</v>
      </c>
      <c r="T668" s="30" t="s">
        <v>2036</v>
      </c>
      <c r="U668" s="30">
        <v>2.1556588E7</v>
      </c>
    </row>
    <row r="669">
      <c r="A669" s="71">
        <v>51.597471</v>
      </c>
      <c r="B669" s="71">
        <v>25.192455</v>
      </c>
      <c r="C669" s="30" t="str">
        <f t="shared" si="1"/>
        <v>51.597471 25.192455</v>
      </c>
      <c r="D669" s="71">
        <v>49.0</v>
      </c>
      <c r="E669" s="99" t="s">
        <v>440</v>
      </c>
      <c r="F669" s="101" t="s">
        <v>201</v>
      </c>
      <c r="G669" s="57" t="s">
        <v>303</v>
      </c>
      <c r="H669" s="74">
        <v>46106.0</v>
      </c>
      <c r="I669" s="71" t="s">
        <v>201</v>
      </c>
      <c r="J669" s="57" t="s">
        <v>2037</v>
      </c>
      <c r="K669" s="37" t="s">
        <v>202</v>
      </c>
      <c r="L669" s="63"/>
      <c r="M669" s="30">
        <v>2.0</v>
      </c>
      <c r="N669" s="102" t="s">
        <v>220</v>
      </c>
      <c r="O669" s="71" t="s">
        <v>194</v>
      </c>
      <c r="P669" s="71">
        <v>160.0</v>
      </c>
      <c r="Q669" s="71" t="s">
        <v>221</v>
      </c>
      <c r="R669" s="71" t="s">
        <v>222</v>
      </c>
      <c r="S669" s="71" t="s">
        <v>197</v>
      </c>
      <c r="T669" s="99" t="s">
        <v>440</v>
      </c>
      <c r="U669" s="71">
        <v>2.1682414E7</v>
      </c>
    </row>
    <row r="670">
      <c r="A670" s="71">
        <v>51.599719</v>
      </c>
      <c r="B670" s="71">
        <v>25.185998</v>
      </c>
      <c r="C670" s="30" t="str">
        <f t="shared" si="1"/>
        <v>51.599719 25.185998</v>
      </c>
      <c r="D670" s="71">
        <v>90.0</v>
      </c>
      <c r="E670" s="99" t="s">
        <v>479</v>
      </c>
      <c r="F670" s="101" t="s">
        <v>201</v>
      </c>
      <c r="G670" s="57" t="s">
        <v>303</v>
      </c>
      <c r="H670" s="74">
        <v>46106.0</v>
      </c>
      <c r="I670" s="71">
        <v>1359759.0</v>
      </c>
      <c r="J670" s="57" t="s">
        <v>2037</v>
      </c>
      <c r="K670" s="37" t="s">
        <v>202</v>
      </c>
      <c r="L670" s="63"/>
      <c r="M670" s="30">
        <v>3.0</v>
      </c>
      <c r="N670" s="102" t="s">
        <v>220</v>
      </c>
      <c r="O670" s="71" t="s">
        <v>194</v>
      </c>
      <c r="P670" s="71">
        <v>160.0</v>
      </c>
      <c r="Q670" s="71" t="s">
        <v>221</v>
      </c>
      <c r="R670" s="71" t="s">
        <v>222</v>
      </c>
      <c r="S670" s="71" t="s">
        <v>197</v>
      </c>
      <c r="T670" s="99" t="s">
        <v>479</v>
      </c>
      <c r="U670" s="71">
        <v>2.1682415E7</v>
      </c>
    </row>
    <row r="671">
      <c r="A671" s="30">
        <v>51.598668</v>
      </c>
      <c r="B671" s="30">
        <v>25.189227</v>
      </c>
      <c r="C671" s="30" t="str">
        <f t="shared" si="1"/>
        <v>51.598668 25.189227</v>
      </c>
      <c r="D671" s="30">
        <v>90.0</v>
      </c>
      <c r="E671" s="36" t="s">
        <v>323</v>
      </c>
      <c r="F671" s="40" t="s">
        <v>201</v>
      </c>
      <c r="G671" s="30" t="s">
        <v>303</v>
      </c>
      <c r="H671" s="33">
        <v>46088.0</v>
      </c>
      <c r="I671" s="30" t="s">
        <v>201</v>
      </c>
      <c r="J671" s="30" t="s">
        <v>2038</v>
      </c>
      <c r="K671" s="43" t="s">
        <v>202</v>
      </c>
      <c r="L671" s="30" t="s">
        <v>195</v>
      </c>
      <c r="M671" s="30">
        <v>2.0</v>
      </c>
      <c r="N671" s="30" t="s">
        <v>220</v>
      </c>
      <c r="O671" s="30" t="s">
        <v>194</v>
      </c>
      <c r="P671" s="30">
        <v>160.0</v>
      </c>
      <c r="Q671" s="30" t="s">
        <v>221</v>
      </c>
      <c r="R671" s="30" t="s">
        <v>222</v>
      </c>
      <c r="S671" s="30" t="s">
        <v>197</v>
      </c>
      <c r="T671" s="30" t="s">
        <v>2039</v>
      </c>
      <c r="U671" s="30">
        <v>2.1682416E7</v>
      </c>
    </row>
    <row r="672">
      <c r="A672" s="30">
        <v>51.597087</v>
      </c>
      <c r="B672" s="30">
        <v>25.192459</v>
      </c>
      <c r="C672" s="30" t="str">
        <f t="shared" si="1"/>
        <v>51.597087 25.192459</v>
      </c>
      <c r="D672" s="34">
        <v>49.0</v>
      </c>
      <c r="E672" s="53" t="s">
        <v>310</v>
      </c>
      <c r="F672" s="40" t="s">
        <v>201</v>
      </c>
      <c r="G672" s="34" t="s">
        <v>303</v>
      </c>
      <c r="H672" s="55">
        <v>46088.0</v>
      </c>
      <c r="I672" s="34" t="s">
        <v>201</v>
      </c>
      <c r="J672" s="34" t="s">
        <v>2040</v>
      </c>
      <c r="K672" s="43" t="s">
        <v>202</v>
      </c>
      <c r="L672" s="34" t="s">
        <v>195</v>
      </c>
      <c r="M672" s="34">
        <v>2.0</v>
      </c>
      <c r="N672" s="34" t="s">
        <v>220</v>
      </c>
      <c r="O672" s="30" t="s">
        <v>194</v>
      </c>
      <c r="P672" s="30">
        <v>160.0</v>
      </c>
      <c r="Q672" s="30" t="s">
        <v>221</v>
      </c>
      <c r="R672" s="30" t="s">
        <v>222</v>
      </c>
      <c r="S672" s="30" t="s">
        <v>197</v>
      </c>
      <c r="T672" s="30" t="s">
        <v>2039</v>
      </c>
      <c r="U672" s="30">
        <v>2.1682417E7</v>
      </c>
    </row>
    <row r="673">
      <c r="A673" s="30">
        <v>51.593696</v>
      </c>
      <c r="B673" s="30">
        <v>25.19094</v>
      </c>
      <c r="C673" s="30" t="str">
        <f t="shared" si="1"/>
        <v>51.593696 25.19094</v>
      </c>
      <c r="D673" s="30">
        <v>91.0</v>
      </c>
      <c r="E673" s="39" t="s">
        <v>603</v>
      </c>
      <c r="F673" s="40" t="s">
        <v>2041</v>
      </c>
      <c r="G673" s="30" t="s">
        <v>190</v>
      </c>
      <c r="H673" s="42">
        <v>46086.0</v>
      </c>
      <c r="I673" s="41" t="s">
        <v>201</v>
      </c>
      <c r="J673" s="40" t="s">
        <v>2042</v>
      </c>
      <c r="K673" s="37" t="s">
        <v>202</v>
      </c>
      <c r="L673" s="41" t="s">
        <v>195</v>
      </c>
      <c r="M673" s="41">
        <v>2.0</v>
      </c>
      <c r="N673" s="41" t="s">
        <v>220</v>
      </c>
      <c r="O673" s="30" t="s">
        <v>194</v>
      </c>
      <c r="P673" s="30">
        <v>160.0</v>
      </c>
      <c r="Q673" s="36" t="s">
        <v>221</v>
      </c>
      <c r="R673" s="36" t="s">
        <v>222</v>
      </c>
      <c r="S673" s="30" t="s">
        <v>197</v>
      </c>
      <c r="T673" s="30" t="s">
        <v>2039</v>
      </c>
      <c r="U673" s="30">
        <v>2.1682418E7</v>
      </c>
    </row>
    <row r="674">
      <c r="A674" s="45">
        <v>51.593639</v>
      </c>
      <c r="B674" s="45">
        <v>25.197158</v>
      </c>
      <c r="C674" s="30" t="str">
        <f t="shared" si="1"/>
        <v>51.593639 25.197158</v>
      </c>
      <c r="D674" s="45">
        <v>91.0</v>
      </c>
      <c r="E674" s="103" t="s">
        <v>440</v>
      </c>
      <c r="F674" s="104" t="s">
        <v>201</v>
      </c>
      <c r="G674" s="57" t="s">
        <v>303</v>
      </c>
      <c r="H674" s="48">
        <v>46106.0</v>
      </c>
      <c r="I674" s="45" t="s">
        <v>201</v>
      </c>
      <c r="J674" s="57" t="s">
        <v>2043</v>
      </c>
      <c r="K674" s="37" t="s">
        <v>202</v>
      </c>
      <c r="L674" s="63"/>
      <c r="M674" s="30">
        <v>2.0</v>
      </c>
      <c r="N674" s="105" t="s">
        <v>220</v>
      </c>
      <c r="O674" s="45" t="s">
        <v>201</v>
      </c>
      <c r="P674" s="45" t="s">
        <v>201</v>
      </c>
      <c r="Q674" s="45" t="s">
        <v>201</v>
      </c>
      <c r="R674" s="45" t="s">
        <v>201</v>
      </c>
      <c r="S674" s="45" t="s">
        <v>201</v>
      </c>
      <c r="T674" s="103" t="s">
        <v>440</v>
      </c>
      <c r="U674" s="45">
        <v>2.1682419E7</v>
      </c>
    </row>
    <row r="675">
      <c r="A675" s="30">
        <v>51.594188</v>
      </c>
      <c r="B675" s="30">
        <v>25.197656</v>
      </c>
      <c r="C675" s="30" t="str">
        <f t="shared" si="1"/>
        <v>51.594188 25.197656</v>
      </c>
      <c r="D675" s="34">
        <v>49.0</v>
      </c>
      <c r="E675" s="53" t="s">
        <v>454</v>
      </c>
      <c r="F675" s="40" t="s">
        <v>201</v>
      </c>
      <c r="G675" s="34" t="s">
        <v>303</v>
      </c>
      <c r="H675" s="55">
        <v>46088.0</v>
      </c>
      <c r="I675" s="34" t="s">
        <v>201</v>
      </c>
      <c r="J675" s="34" t="s">
        <v>2038</v>
      </c>
      <c r="K675" s="43" t="s">
        <v>202</v>
      </c>
      <c r="L675" s="34" t="s">
        <v>195</v>
      </c>
      <c r="M675" s="34">
        <v>2.0</v>
      </c>
      <c r="N675" s="34" t="s">
        <v>220</v>
      </c>
      <c r="O675" s="30" t="s">
        <v>194</v>
      </c>
      <c r="P675" s="30">
        <v>160.0</v>
      </c>
      <c r="Q675" s="30" t="s">
        <v>221</v>
      </c>
      <c r="R675" s="30" t="s">
        <v>222</v>
      </c>
      <c r="S675" s="30" t="s">
        <v>197</v>
      </c>
      <c r="T675" s="30" t="s">
        <v>2039</v>
      </c>
      <c r="U675" s="30">
        <v>2.168242E7</v>
      </c>
    </row>
    <row r="676">
      <c r="A676" s="30">
        <v>51.370063</v>
      </c>
      <c r="B676" s="30">
        <v>25.195648</v>
      </c>
      <c r="C676" s="30" t="str">
        <f t="shared" si="1"/>
        <v>51.370063 25.195648</v>
      </c>
      <c r="D676" s="30">
        <v>55.0</v>
      </c>
      <c r="E676" s="36" t="s">
        <v>479</v>
      </c>
      <c r="F676" s="40" t="s">
        <v>201</v>
      </c>
      <c r="G676" s="30" t="s">
        <v>190</v>
      </c>
      <c r="H676" s="33">
        <v>46094.0</v>
      </c>
      <c r="I676" s="30">
        <v>1434626.0</v>
      </c>
      <c r="J676" s="30" t="s">
        <v>1805</v>
      </c>
      <c r="K676" s="43" t="s">
        <v>202</v>
      </c>
      <c r="L676" s="30" t="s">
        <v>195</v>
      </c>
      <c r="M676" s="30">
        <v>4.0</v>
      </c>
      <c r="N676" s="30" t="s">
        <v>356</v>
      </c>
      <c r="O676" s="30" t="s">
        <v>194</v>
      </c>
      <c r="P676" s="30">
        <v>160.0</v>
      </c>
      <c r="Q676" s="30" t="s">
        <v>221</v>
      </c>
      <c r="R676" s="30" t="s">
        <v>254</v>
      </c>
      <c r="S676" s="30" t="s">
        <v>197</v>
      </c>
      <c r="T676" s="30" t="s">
        <v>2039</v>
      </c>
      <c r="U676" s="30">
        <v>2.1741942E7</v>
      </c>
    </row>
    <row r="677">
      <c r="A677" s="30">
        <v>51.366572</v>
      </c>
      <c r="B677" s="30">
        <v>25.199354</v>
      </c>
      <c r="C677" s="30" t="str">
        <f t="shared" si="1"/>
        <v>51.366572 25.199354</v>
      </c>
      <c r="D677" s="34">
        <v>55.0</v>
      </c>
      <c r="E677" s="53" t="s">
        <v>479</v>
      </c>
      <c r="F677" s="40" t="s">
        <v>201</v>
      </c>
      <c r="G677" s="34" t="s">
        <v>303</v>
      </c>
      <c r="H677" s="55">
        <v>46094.0</v>
      </c>
      <c r="I677" s="34">
        <v>1434626.0</v>
      </c>
      <c r="J677" s="34" t="s">
        <v>2044</v>
      </c>
      <c r="K677" s="43" t="s">
        <v>202</v>
      </c>
      <c r="L677" s="34" t="s">
        <v>195</v>
      </c>
      <c r="M677" s="34">
        <v>4.0</v>
      </c>
      <c r="N677" s="30" t="s">
        <v>356</v>
      </c>
      <c r="O677" s="30" t="s">
        <v>194</v>
      </c>
      <c r="P677" s="30">
        <v>160.0</v>
      </c>
      <c r="Q677" s="30" t="s">
        <v>221</v>
      </c>
      <c r="R677" s="30" t="s">
        <v>222</v>
      </c>
      <c r="S677" s="30" t="s">
        <v>197</v>
      </c>
      <c r="T677" s="30" t="s">
        <v>2039</v>
      </c>
      <c r="U677" s="30">
        <v>2.1741943E7</v>
      </c>
    </row>
    <row r="678">
      <c r="A678" s="45">
        <v>51.359901</v>
      </c>
      <c r="B678" s="45">
        <v>25.209604</v>
      </c>
      <c r="C678" s="30" t="str">
        <f t="shared" si="1"/>
        <v>51.359901 25.209604</v>
      </c>
      <c r="D678" s="45">
        <v>55.0</v>
      </c>
      <c r="E678" s="46" t="s">
        <v>201</v>
      </c>
      <c r="F678" s="47" t="s">
        <v>201</v>
      </c>
      <c r="G678" s="45" t="s">
        <v>303</v>
      </c>
      <c r="H678" s="48">
        <v>46094.0</v>
      </c>
      <c r="I678" s="45" t="s">
        <v>201</v>
      </c>
      <c r="J678" s="106" t="s">
        <v>2045</v>
      </c>
      <c r="K678" s="43" t="s">
        <v>201</v>
      </c>
      <c r="L678" s="35"/>
      <c r="M678" s="45" t="s">
        <v>201</v>
      </c>
      <c r="N678" s="45" t="s">
        <v>356</v>
      </c>
      <c r="O678" s="45" t="s">
        <v>201</v>
      </c>
      <c r="P678" s="45" t="s">
        <v>201</v>
      </c>
      <c r="Q678" s="45" t="s">
        <v>201</v>
      </c>
      <c r="R678" s="45" t="s">
        <v>201</v>
      </c>
      <c r="S678" s="45" t="s">
        <v>201</v>
      </c>
      <c r="T678" s="45" t="s">
        <v>201</v>
      </c>
      <c r="U678" s="45">
        <v>2.1741944E7</v>
      </c>
    </row>
    <row r="679">
      <c r="A679" s="71">
        <v>51.464067</v>
      </c>
      <c r="B679" s="71">
        <v>25.607469</v>
      </c>
      <c r="C679" s="30" t="str">
        <f t="shared" si="1"/>
        <v>51.464067 25.607469</v>
      </c>
      <c r="D679" s="71">
        <v>70.0</v>
      </c>
      <c r="E679" s="72" t="s">
        <v>440</v>
      </c>
      <c r="F679" s="73" t="s">
        <v>1807</v>
      </c>
      <c r="G679" s="30" t="s">
        <v>190</v>
      </c>
      <c r="H679" s="74">
        <v>46104.0</v>
      </c>
      <c r="I679" s="71">
        <v>1398737.0</v>
      </c>
      <c r="J679" s="30" t="s">
        <v>201</v>
      </c>
      <c r="K679" s="34" t="s">
        <v>202</v>
      </c>
      <c r="L679" s="35"/>
      <c r="M679" s="30">
        <v>3.0</v>
      </c>
      <c r="N679" s="71" t="s">
        <v>356</v>
      </c>
      <c r="O679" s="71" t="s">
        <v>194</v>
      </c>
      <c r="P679" s="71">
        <v>160.0</v>
      </c>
      <c r="Q679" s="72" t="s">
        <v>195</v>
      </c>
      <c r="R679" s="72" t="s">
        <v>196</v>
      </c>
      <c r="S679" s="71" t="s">
        <v>197</v>
      </c>
      <c r="T679" s="72" t="s">
        <v>440</v>
      </c>
      <c r="U679" s="71">
        <v>2.1829695E7</v>
      </c>
    </row>
  </sheetData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2015-06-05T18:17:20Z</dcterms:created>
  <dc:creator>Admin</dc:creator>
</cp:coreProperties>
</file>